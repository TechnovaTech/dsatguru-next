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8d8c22ee0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e3af16ed264e94"/>
    <x:sheet xmlns:r="http://schemas.openxmlformats.org/officeDocument/2006/relationships" name="INT Dec24 B EBRW M1" sheetId="2" r:id="R93d900bbd1be42ca"/>
    <x:sheet xmlns:r="http://schemas.openxmlformats.org/officeDocument/2006/relationships" name="INT Dec24 B EBRW M2" sheetId="3" r:id="Rd15255adef9549a5"/>
    <x:sheet xmlns:r="http://schemas.openxmlformats.org/officeDocument/2006/relationships" name="INT Dec24 B Math M1" sheetId="4" r:id="R4faa2153493e4e4f"/>
    <x:sheet xmlns:r="http://schemas.openxmlformats.org/officeDocument/2006/relationships" name="INT Dec24 B Math M2" sheetId="5" r:id="R9b79a39d343a45df"/>
    <x:sheet xmlns:r="http://schemas.openxmlformats.org/officeDocument/2006/relationships" name="INT Dec24 C Math M1" sheetId="6" r:id="Rec868a0a57aa4b28"/>
    <x:sheet xmlns:r="http://schemas.openxmlformats.org/officeDocument/2006/relationships" name="INT Dec24 C Math M2" sheetId="7" r:id="R7130432630f04d6d"/>
    <x:sheet xmlns:r="http://schemas.openxmlformats.org/officeDocument/2006/relationships" name="US Jun24 A EBRW M1" sheetId="8" r:id="R222a66dcb3914f59"/>
    <x:sheet xmlns:r="http://schemas.openxmlformats.org/officeDocument/2006/relationships" name="US Jun24 A EBRW M2" sheetId="9" r:id="R948f9c1846ec45af"/>
    <x:sheet xmlns:r="http://schemas.openxmlformats.org/officeDocument/2006/relationships" name="US Jun24 A Math M1" sheetId="10" r:id="R111c39f3ad8f446f"/>
    <x:sheet xmlns:r="http://schemas.openxmlformats.org/officeDocument/2006/relationships" name="US Jun24 A Math M2" sheetId="11" r:id="Rc5457332abb74af9"/>
    <x:sheet xmlns:r="http://schemas.openxmlformats.org/officeDocument/2006/relationships" name="US Jun24 B EBRW M1" sheetId="12" r:id="R22149865a0cb48e9"/>
    <x:sheet xmlns:r="http://schemas.openxmlformats.org/officeDocument/2006/relationships" name="US Jun24 B EBRW M2" sheetId="13" r:id="Rec613c4706e2417b"/>
    <x:sheet xmlns:r="http://schemas.openxmlformats.org/officeDocument/2006/relationships" name="US Oct24 A EBRW M1" sheetId="14" r:id="R28dc19b6dc0348fe"/>
    <x:sheet xmlns:r="http://schemas.openxmlformats.org/officeDocument/2006/relationships" name="US Oct24 A EBRW M2" sheetId="15" r:id="R36d8aadb7cc84d40"/>
    <x:sheet xmlns:r="http://schemas.openxmlformats.org/officeDocument/2006/relationships" name="US Oct24 A Math M1" sheetId="16" r:id="Ra7a80fed6643410d"/>
    <x:sheet xmlns:r="http://schemas.openxmlformats.org/officeDocument/2006/relationships" name="US Oct24 A Math M2" sheetId="17" r:id="Rceefb57cbcc343b4"/>
    <x:sheet xmlns:r="http://schemas.openxmlformats.org/officeDocument/2006/relationships" name="US Oct24 B EBRW M1" sheetId="18" r:id="R4d68028ff6174b4d"/>
    <x:sheet xmlns:r="http://schemas.openxmlformats.org/officeDocument/2006/relationships" name="US Oct24 B EBRW M2" sheetId="19" r:id="R52f606e40ef94445"/>
    <x:sheet xmlns:r="http://schemas.openxmlformats.org/officeDocument/2006/relationships" name="US Oct24 B Math M1" sheetId="20" r:id="Rf370fd7b5a594a57"/>
    <x:sheet xmlns:r="http://schemas.openxmlformats.org/officeDocument/2006/relationships" name="US Oct24 B Math M2" sheetId="21" r:id="R59b89cb3c891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D6A84B"/>
      <x:name val="Carlito"/>
    </x:font>
    <x:font>
      <x:i/>
      <x:sz val="11"/>
      <x:color rgb="FF0B1F3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0"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7A5C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411cccdd64109" /><Relationship Type="http://schemas.openxmlformats.org/officeDocument/2006/relationships/theme" Target="/xl/theme/theme1.xml" Id="R8b1b0e33f04146c5" /><Relationship Type="http://schemas.openxmlformats.org/officeDocument/2006/relationships/sharedStrings" Target="/xl/sharedStrings.xml" Id="Rd0215c10e9c04e1f" /><Relationship Type="http://schemas.openxmlformats.org/officeDocument/2006/relationships/worksheet" Target="/xl/worksheets/sheet1.xml" Id="Rb1e3af16ed264e94" /><Relationship Type="http://schemas.openxmlformats.org/officeDocument/2006/relationships/worksheet" Target="/xl/worksheets/sheet2.xml" Id="R93d900bbd1be42ca" /><Relationship Type="http://schemas.openxmlformats.org/officeDocument/2006/relationships/worksheet" Target="/xl/worksheets/sheet3.xml" Id="Rd15255adef9549a5" /><Relationship Type="http://schemas.openxmlformats.org/officeDocument/2006/relationships/worksheet" Target="/xl/worksheets/sheet4.xml" Id="R4faa2153493e4e4f" /><Relationship Type="http://schemas.openxmlformats.org/officeDocument/2006/relationships/worksheet" Target="/xl/worksheets/sheet5.xml" Id="R9b79a39d343a45df" /><Relationship Type="http://schemas.openxmlformats.org/officeDocument/2006/relationships/worksheet" Target="/xl/worksheets/sheet6.xml" Id="Rec868a0a57aa4b28" /><Relationship Type="http://schemas.openxmlformats.org/officeDocument/2006/relationships/worksheet" Target="/xl/worksheets/sheet7.xml" Id="R7130432630f04d6d" /><Relationship Type="http://schemas.openxmlformats.org/officeDocument/2006/relationships/worksheet" Target="/xl/worksheets/sheet8.xml" Id="R222a66dcb3914f59" /><Relationship Type="http://schemas.openxmlformats.org/officeDocument/2006/relationships/worksheet" Target="/xl/worksheets/sheet9.xml" Id="R948f9c1846ec45af" /><Relationship Type="http://schemas.openxmlformats.org/officeDocument/2006/relationships/worksheet" Target="/xl/worksheets/sheet10.xml" Id="R111c39f3ad8f446f" /><Relationship Type="http://schemas.openxmlformats.org/officeDocument/2006/relationships/worksheet" Target="/xl/worksheets/sheet11.xml" Id="Rc5457332abb74af9" /><Relationship Type="http://schemas.openxmlformats.org/officeDocument/2006/relationships/worksheet" Target="/xl/worksheets/sheet12.xml" Id="R22149865a0cb48e9" /><Relationship Type="http://schemas.openxmlformats.org/officeDocument/2006/relationships/worksheet" Target="/xl/worksheets/sheet13.xml" Id="Rec613c4706e2417b" /><Relationship Type="http://schemas.openxmlformats.org/officeDocument/2006/relationships/worksheet" Target="/xl/worksheets/sheet14.xml" Id="R28dc19b6dc0348fe" /><Relationship Type="http://schemas.openxmlformats.org/officeDocument/2006/relationships/worksheet" Target="/xl/worksheets/sheet15.xml" Id="R36d8aadb7cc84d40" /><Relationship Type="http://schemas.openxmlformats.org/officeDocument/2006/relationships/worksheet" Target="/xl/worksheets/sheet16.xml" Id="Ra7a80fed6643410d" /><Relationship Type="http://schemas.openxmlformats.org/officeDocument/2006/relationships/worksheet" Target="/xl/worksheets/sheet17.xml" Id="Rceefb57cbcc343b4" /><Relationship Type="http://schemas.openxmlformats.org/officeDocument/2006/relationships/worksheet" Target="/xl/worksheets/sheet18.xml" Id="R4d68028ff6174b4d" /><Relationship Type="http://schemas.openxmlformats.org/officeDocument/2006/relationships/worksheet" Target="/xl/worksheets/sheet19.xml" Id="R52f606e40ef94445" /><Relationship Type="http://schemas.openxmlformats.org/officeDocument/2006/relationships/worksheet" Target="/xl/worksheets/sheet20.xml" Id="Rf370fd7b5a594a57" /><Relationship Type="http://schemas.openxmlformats.org/officeDocument/2006/relationships/worksheet" Target="/xl/worksheets/sheet21.xml" Id="R59b89cb3c8914848" /></Relationships>
</file>

<file path=xl/tables/table1.xml><?xml version="1.0" encoding="utf-8"?>
<x:table xmlns:x="http://schemas.openxmlformats.org/spreadsheetml/2006/main" id="1" name="INTDec24BEBRWM1Table" displayName="INTDec24BEBRWM1Table" ref="A4:E31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Dec24BEBRWM2Table" displayName="INTDec24BEBRWM2Table" ref="A4:E31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Dec24BMathM1Table" displayName="INTDec24BMathM1Table" ref="A4:E26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Dec24BMathM2Table" displayName="INTDec24BMathM2Table" ref="A4:E26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TDec24CMathM1Table" displayName="INTDec24CMathM1Table" ref="A4:E26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TDec24CMathM2Table" displayName="INTDec24CMathM2Table" ref="A4:E26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SJun24AEBRWM1Table" displayName="USJun24AEBRWM1Table" ref="A4:E31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USJun24AEBRWM2Table" displayName="USJun24AEBRWM2Table" ref="A4:E31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USJun24AMathM1Table" displayName="USJun24AMathM1Table" ref="A4:E26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USJun24AMathM2Table" displayName="USJun24AMathM2Table" ref="A4:E26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USJun24BEBRWM1Table" displayName="USJun24BEBRWM1Table" ref="A4:E31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USJun24BEBRWM2Table" displayName="USJun24BEBRWM2Table" ref="A4:E31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USOct24AEBRWM1Table" displayName="USOct24AEBRWM1Table" ref="A4:E31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USOct24AEBRWM2Table" displayName="USOct24AEBRWM2Table" ref="A4:E31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USOct24AMathM1Table" displayName="USOct24AMathM1Table" ref="A4:E26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USOct24AMathM2Table" displayName="USOct24AMathM2Table" ref="A4:E26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USOct24BEBRWM1Table" displayName="USOct24BEBRWM1Table" ref="A4:E31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USOct24BEBRWM2Table" displayName="USOct24BEBRWM2Table" ref="A4:E31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USOct24BMathM1Table" displayName="USOct24BMathM1Table" ref="A4:E26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USOct24BMathM2Table" displayName="USOct24BMathM2Table" ref="A4:E26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d4f6bedb364d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c9e697b29a43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a0d5200f3841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10fafa277444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e91043c9cd4e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55d5501b904a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cdb8781bb945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69ad6f95ee426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14b274dfeae4c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76c4be270ee4e6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9d729d4697b4f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d9b8079b8d24e1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da1d60edbce4d7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e8d2322459b4e2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6e5deffde0f64f2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968e0343e7b7411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5bb11b08688b490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87d7aef1636747a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809f962e076149c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f282640c68fc400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28" hidden="0" customWidth="1"/>
  </x:cols>
  <x:sheetData>
    <x:row r="1" ht="28" customHeight="1">
      <x:c r="A1" s="5" t="str">
        <x:v>Digital SAT 2024 Pattern Analysis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2" t="str">
        <x:v>Difficulty is an estimated DSAT-style classification. Targets: EBRW Module 1 ≈30% Hard; EBRW Module 2 ≈40% Hard; Math Module 1 ≈40% Hard; Math Module 2 ≈60% Hard. Domain, Skill/Subtopic, and Pattern are source-based classifications.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19" t="str">
        <x:v>Sheet</x:v>
      </x:c>
      <x:c r="B4" s="19" t="str">
        <x:v>Section</x:v>
      </x:c>
      <x:c r="C4" s="19" t="str">
        <x:v>Test</x:v>
      </x:c>
      <x:c r="D4" s="19" t="str">
        <x:v>Module</x:v>
      </x:c>
      <x:c r="E4" s="19" t="str">
        <x:v>Questions</x:v>
      </x:c>
      <x:c r="F4" s="19" t="str">
        <x:v>Easy</x:v>
      </x:c>
      <x:c r="G4" s="19" t="str">
        <x:v>Medium</x:v>
      </x:c>
      <x:c r="H4" s="19" t="str">
        <x:v>Hard</x:v>
      </x:c>
      <x:c r="I4" s="19" t="str">
        <x:v>Hard %</x:v>
      </x:c>
      <x:c r="J4" s="19" t="str">
        <x:v>Target / Note</x:v>
      </x:c>
    </x:row>
    <x:row r="5">
      <x:c r="A5" t="str">
        <x:v>INT Dec24 B EBRW M1</x:v>
      </x:c>
      <x:c r="B5" t="str">
        <x:v>EBRW</x:v>
      </x:c>
      <x:c r="C5" t="str">
        <x:v>INT Dec24 B</x:v>
      </x:c>
      <x:c r="D5" t="str">
        <x:v>Module 1</x:v>
      </x:c>
      <x:c r="E5" t="n">
        <x:f>COUNTIF('INT Dec24 B EBRW M1'!$D$5:$D$31,"Easy")+COUNTIF('INT Dec24 B EBRW M1'!$D$5:$D$31,"Medium")+COUNTIF('INT Dec24 B EBRW M1'!$D$5:$D$31,"Hard")</x:f>
        <x:v>27</x:v>
      </x:c>
      <x:c r="F5" t="n">
        <x:f>COUNTIF('INT Dec24 B EBRW M1'!$D$5:$D$31,"Easy")</x:f>
        <x:v>9</x:v>
      </x:c>
      <x:c r="G5" t="n">
        <x:f>COUNTIF('INT Dec24 B EBRW M1'!$D$5:$D$31,"Medium")</x:f>
        <x:v>10</x:v>
      </x:c>
      <x:c r="H5" t="n">
        <x:f>COUNTIF('INT Dec24 B EBRW M1'!$D$5:$D$31,"Hard")</x:f>
        <x:v>8</x:v>
      </x:c>
      <x:c r="I5" s="24" t="n">
        <x:f>IF(E5=0,0,H5/E5)</x:f>
        <x:v>0.2962962962962963</x:v>
      </x:c>
      <x:c r="J5" t="str">
        <x:v>≈30% Hard target</x:v>
      </x:c>
    </x:row>
    <x:row r="6">
      <x:c r="A6" t="str">
        <x:v>INT Dec24 B EBRW M2</x:v>
      </x:c>
      <x:c r="B6" t="str">
        <x:v>EBRW</x:v>
      </x:c>
      <x:c r="C6" t="str">
        <x:v>INT Dec24 B</x:v>
      </x:c>
      <x:c r="D6" t="str">
        <x:v>Module 2</x:v>
      </x:c>
      <x:c r="E6" t="n">
        <x:f>COUNTIF('INT Dec24 B EBRW M2'!$D$5:$D$31,"Easy")+COUNTIF('INT Dec24 B EBRW M2'!$D$5:$D$31,"Medium")+COUNTIF('INT Dec24 B EBRW M2'!$D$5:$D$31,"Hard")</x:f>
        <x:v>27</x:v>
      </x:c>
      <x:c r="F6" t="n">
        <x:f>COUNTIF('INT Dec24 B EBRW M2'!$D$5:$D$31,"Easy")</x:f>
        <x:v>8</x:v>
      </x:c>
      <x:c r="G6" t="n">
        <x:f>COUNTIF('INT Dec24 B EBRW M2'!$D$5:$D$31,"Medium")</x:f>
        <x:v>8</x:v>
      </x:c>
      <x:c r="H6" t="n">
        <x:f>COUNTIF('INT Dec24 B EBRW M2'!$D$5:$D$31,"Hard")</x:f>
        <x:v>11</x:v>
      </x:c>
      <x:c r="I6" s="24" t="n">
        <x:f>IF(E6=0,0,H6/E6)</x:f>
        <x:v>0.4074074074074074</x:v>
      </x:c>
      <x:c r="J6" t="str">
        <x:v>≈40% Hard target</x:v>
      </x:c>
    </x:row>
    <x:row r="7">
      <x:c r="A7" t="str">
        <x:v>INT Dec24 B Math M1</x:v>
      </x:c>
      <x:c r="B7" t="str">
        <x:v>Math</x:v>
      </x:c>
      <x:c r="C7" t="str">
        <x:v>INT Dec24 B</x:v>
      </x:c>
      <x:c r="D7" t="str">
        <x:v>Module 1</x:v>
      </x:c>
      <x:c r="E7" t="n">
        <x:f>COUNTIF('INT Dec24 B Math M1'!$D$5:$D$26,"Easy")+COUNTIF('INT Dec24 B Math M1'!$D$5:$D$26,"Medium")+COUNTIF('INT Dec24 B Math M1'!$D$5:$D$26,"Hard")</x:f>
        <x:v>22</x:v>
      </x:c>
      <x:c r="F7" t="n">
        <x:f>COUNTIF('INT Dec24 B Math M1'!$D$5:$D$26,"Easy")</x:f>
        <x:v>7</x:v>
      </x:c>
      <x:c r="G7" t="n">
        <x:f>COUNTIF('INT Dec24 B Math M1'!$D$5:$D$26,"Medium")</x:f>
        <x:v>6</x:v>
      </x:c>
      <x:c r="H7" t="n">
        <x:f>COUNTIF('INT Dec24 B Math M1'!$D$5:$D$26,"Hard")</x:f>
        <x:v>9</x:v>
      </x:c>
      <x:c r="I7" s="24" t="n">
        <x:f>IF(E7=0,0,H7/E7)</x:f>
        <x:v>0.4090909090909091</x:v>
      </x:c>
      <x:c r="J7" t="str">
        <x:v>≈40% Hard target</x:v>
      </x:c>
    </x:row>
    <x:row r="8">
      <x:c r="A8" t="str">
        <x:v>INT Dec24 B Math M2</x:v>
      </x:c>
      <x:c r="B8" t="str">
        <x:v>Math</x:v>
      </x:c>
      <x:c r="C8" t="str">
        <x:v>INT Dec24 B</x:v>
      </x:c>
      <x:c r="D8" t="str">
        <x:v>Module 2</x:v>
      </x:c>
      <x:c r="E8" t="n">
        <x:f>COUNTIF('INT Dec24 B Math M2'!$D$5:$D$26,"Easy")+COUNTIF('INT Dec24 B Math M2'!$D$5:$D$26,"Medium")+COUNTIF('INT Dec24 B Math M2'!$D$5:$D$26,"Hard")</x:f>
        <x:v>22</x:v>
      </x:c>
      <x:c r="F8" t="n">
        <x:f>COUNTIF('INT Dec24 B Math M2'!$D$5:$D$26,"Easy")</x:f>
        <x:v>5</x:v>
      </x:c>
      <x:c r="G8" t="n">
        <x:f>COUNTIF('INT Dec24 B Math M2'!$D$5:$D$26,"Medium")</x:f>
        <x:v>4</x:v>
      </x:c>
      <x:c r="H8" t="n">
        <x:f>COUNTIF('INT Dec24 B Math M2'!$D$5:$D$26,"Hard")</x:f>
        <x:v>13</x:v>
      </x:c>
      <x:c r="I8" s="24" t="n">
        <x:f>IF(E8=0,0,H8/E8)</x:f>
        <x:v>0.5909090909090909</x:v>
      </x:c>
      <x:c r="J8" t="str">
        <x:v>≈60% Hard target</x:v>
      </x:c>
    </x:row>
    <x:row r="9">
      <x:c r="A9" t="str">
        <x:v>INT Dec24 C Math M1</x:v>
      </x:c>
      <x:c r="B9" t="str">
        <x:v>Math</x:v>
      </x:c>
      <x:c r="C9" t="str">
        <x:v>INT Dec24 C</x:v>
      </x:c>
      <x:c r="D9" t="str">
        <x:v>Module 1</x:v>
      </x:c>
      <x:c r="E9" t="n">
        <x:f>COUNTIF('INT Dec24 C Math M1'!$D$5:$D$26,"Easy")+COUNTIF('INT Dec24 C Math M1'!$D$5:$D$26,"Medium")+COUNTIF('INT Dec24 C Math M1'!$D$5:$D$26,"Hard")</x:f>
        <x:v>22</x:v>
      </x:c>
      <x:c r="F9" t="n">
        <x:f>COUNTIF('INT Dec24 C Math M1'!$D$5:$D$26,"Easy")</x:f>
        <x:v>7</x:v>
      </x:c>
      <x:c r="G9" t="n">
        <x:f>COUNTIF('INT Dec24 C Math M1'!$D$5:$D$26,"Medium")</x:f>
        <x:v>6</x:v>
      </x:c>
      <x:c r="H9" t="n">
        <x:f>COUNTIF('INT Dec24 C Math M1'!$D$5:$D$26,"Hard")</x:f>
        <x:v>9</x:v>
      </x:c>
      <x:c r="I9" s="24" t="n">
        <x:f>IF(E9=0,0,H9/E9)</x:f>
        <x:v>0.4090909090909091</x:v>
      </x:c>
      <x:c r="J9" t="str">
        <x:v>≈40% Hard target</x:v>
      </x:c>
    </x:row>
    <x:row r="10">
      <x:c r="A10" t="str">
        <x:v>INT Dec24 C Math M2</x:v>
      </x:c>
      <x:c r="B10" t="str">
        <x:v>Math</x:v>
      </x:c>
      <x:c r="C10" t="str">
        <x:v>INT Dec24 C</x:v>
      </x:c>
      <x:c r="D10" t="str">
        <x:v>Module 2</x:v>
      </x:c>
      <x:c r="E10" t="n">
        <x:f>COUNTIF('INT Dec24 C Math M2'!$D$5:$D$26,"Easy")+COUNTIF('INT Dec24 C Math M2'!$D$5:$D$26,"Medium")+COUNTIF('INT Dec24 C Math M2'!$D$5:$D$26,"Hard")</x:f>
        <x:v>22</x:v>
      </x:c>
      <x:c r="F10" t="n">
        <x:f>COUNTIF('INT Dec24 C Math M2'!$D$5:$D$26,"Easy")</x:f>
        <x:v>5</x:v>
      </x:c>
      <x:c r="G10" t="n">
        <x:f>COUNTIF('INT Dec24 C Math M2'!$D$5:$D$26,"Medium")</x:f>
        <x:v>4</x:v>
      </x:c>
      <x:c r="H10" t="n">
        <x:f>COUNTIF('INT Dec24 C Math M2'!$D$5:$D$26,"Hard")</x:f>
        <x:v>13</x:v>
      </x:c>
      <x:c r="I10" s="24" t="n">
        <x:f>IF(E10=0,0,H10/E10)</x:f>
        <x:v>0.5909090909090909</x:v>
      </x:c>
      <x:c r="J10" t="str">
        <x:v>≈60% Hard target</x:v>
      </x:c>
    </x:row>
    <x:row r="11">
      <x:c r="A11" t="str">
        <x:v>US Jun24 A EBRW M1</x:v>
      </x:c>
      <x:c r="B11" t="str">
        <x:v>EBRW</x:v>
      </x:c>
      <x:c r="C11" t="str">
        <x:v>US Jun24 A</x:v>
      </x:c>
      <x:c r="D11" t="str">
        <x:v>Module 1</x:v>
      </x:c>
      <x:c r="E11" t="n">
        <x:f>COUNTIF('US Jun24 A EBRW M1'!$D$5:$D$31,"Easy")+COUNTIF('US Jun24 A EBRW M1'!$D$5:$D$31,"Medium")+COUNTIF('US Jun24 A EBRW M1'!$D$5:$D$31,"Hard")</x:f>
        <x:v>26</x:v>
      </x:c>
      <x:c r="F11" t="n">
        <x:f>COUNTIF('US Jun24 A EBRW M1'!$D$5:$D$31,"Easy")</x:f>
        <x:v>9</x:v>
      </x:c>
      <x:c r="G11" t="n">
        <x:f>COUNTIF('US Jun24 A EBRW M1'!$D$5:$D$31,"Medium")</x:f>
        <x:v>9</x:v>
      </x:c>
      <x:c r="H11" t="n">
        <x:f>COUNTIF('US Jun24 A EBRW M1'!$D$5:$D$31,"Hard")</x:f>
        <x:v>8</x:v>
      </x:c>
      <x:c r="I11" s="24" t="n">
        <x:f>IF(E11=0,0,H11/E11)</x:f>
        <x:v>0.3076923076923077</x:v>
      </x:c>
      <x:c r="J11" t="str">
        <x:v>≈30% Hard target; missing Q21</x:v>
      </x:c>
    </x:row>
    <x:row r="12">
      <x:c r="A12" t="str">
        <x:v>US Jun24 A EBRW M2</x:v>
      </x:c>
      <x:c r="B12" t="str">
        <x:v>EBRW</x:v>
      </x:c>
      <x:c r="C12" t="str">
        <x:v>US Jun24 A</x:v>
      </x:c>
      <x:c r="D12" t="str">
        <x:v>Module 2</x:v>
      </x:c>
      <x:c r="E12" t="n">
        <x:f>COUNTIF('US Jun24 A EBRW M2'!$D$5:$D$31,"Easy")+COUNTIF('US Jun24 A EBRW M2'!$D$5:$D$31,"Medium")+COUNTIF('US Jun24 A EBRW M2'!$D$5:$D$31,"Hard")</x:f>
        <x:v>27</x:v>
      </x:c>
      <x:c r="F12" t="n">
        <x:f>COUNTIF('US Jun24 A EBRW M2'!$D$5:$D$31,"Easy")</x:f>
        <x:v>8</x:v>
      </x:c>
      <x:c r="G12" t="n">
        <x:f>COUNTIF('US Jun24 A EBRW M2'!$D$5:$D$31,"Medium")</x:f>
        <x:v>8</x:v>
      </x:c>
      <x:c r="H12" t="n">
        <x:f>COUNTIF('US Jun24 A EBRW M2'!$D$5:$D$31,"Hard")</x:f>
        <x:v>11</x:v>
      </x:c>
      <x:c r="I12" s="24" t="n">
        <x:f>IF(E12=0,0,H12/E12)</x:f>
        <x:v>0.4074074074074074</x:v>
      </x:c>
      <x:c r="J12" t="str">
        <x:v>≈40% Hard target</x:v>
      </x:c>
    </x:row>
    <x:row r="13">
      <x:c r="A13" t="str">
        <x:v>US Jun24 A Math M1</x:v>
      </x:c>
      <x:c r="B13" t="str">
        <x:v>Math</x:v>
      </x:c>
      <x:c r="C13" t="str">
        <x:v>US Jun24 A</x:v>
      </x:c>
      <x:c r="D13" t="str">
        <x:v>Module 1</x:v>
      </x:c>
      <x:c r="E13" t="n">
        <x:f>COUNTIF('US Jun24 A Math M1'!$D$5:$D$26,"Easy")+COUNTIF('US Jun24 A Math M1'!$D$5:$D$26,"Medium")+COUNTIF('US Jun24 A Math M1'!$D$5:$D$26,"Hard")</x:f>
        <x:v>22</x:v>
      </x:c>
      <x:c r="F13" t="n">
        <x:f>COUNTIF('US Jun24 A Math M1'!$D$5:$D$26,"Easy")</x:f>
        <x:v>7</x:v>
      </x:c>
      <x:c r="G13" t="n">
        <x:f>COUNTIF('US Jun24 A Math M1'!$D$5:$D$26,"Medium")</x:f>
        <x:v>6</x:v>
      </x:c>
      <x:c r="H13" t="n">
        <x:f>COUNTIF('US Jun24 A Math M1'!$D$5:$D$26,"Hard")</x:f>
        <x:v>9</x:v>
      </x:c>
      <x:c r="I13" s="24" t="n">
        <x:f>IF(E13=0,0,H13/E13)</x:f>
        <x:v>0.4090909090909091</x:v>
      </x:c>
      <x:c r="J13" t="str">
        <x:v>≈40% Hard target</x:v>
      </x:c>
    </x:row>
    <x:row r="14">
      <x:c r="A14" t="str">
        <x:v>US Jun24 A Math M2</x:v>
      </x:c>
      <x:c r="B14" t="str">
        <x:v>Math</x:v>
      </x:c>
      <x:c r="C14" t="str">
        <x:v>US Jun24 A</x:v>
      </x:c>
      <x:c r="D14" t="str">
        <x:v>Module 2</x:v>
      </x:c>
      <x:c r="E14" t="n">
        <x:f>COUNTIF('US Jun24 A Math M2'!$D$5:$D$26,"Easy")+COUNTIF('US Jun24 A Math M2'!$D$5:$D$26,"Medium")+COUNTIF('US Jun24 A Math M2'!$D$5:$D$26,"Hard")</x:f>
        <x:v>22</x:v>
      </x:c>
      <x:c r="F14" t="n">
        <x:f>COUNTIF('US Jun24 A Math M2'!$D$5:$D$26,"Easy")</x:f>
        <x:v>5</x:v>
      </x:c>
      <x:c r="G14" t="n">
        <x:f>COUNTIF('US Jun24 A Math M2'!$D$5:$D$26,"Medium")</x:f>
        <x:v>4</x:v>
      </x:c>
      <x:c r="H14" t="n">
        <x:f>COUNTIF('US Jun24 A Math M2'!$D$5:$D$26,"Hard")</x:f>
        <x:v>13</x:v>
      </x:c>
      <x:c r="I14" s="24" t="n">
        <x:f>IF(E14=0,0,H14/E14)</x:f>
        <x:v>0.5909090909090909</x:v>
      </x:c>
      <x:c r="J14" t="str">
        <x:v>≈60% Hard target</x:v>
      </x:c>
    </x:row>
    <x:row r="15">
      <x:c r="A15" t="str">
        <x:v>US Jun24 B EBRW M1</x:v>
      </x:c>
      <x:c r="B15" t="str">
        <x:v>EBRW</x:v>
      </x:c>
      <x:c r="C15" t="str">
        <x:v>US Jun24 B</x:v>
      </x:c>
      <x:c r="D15" t="str">
        <x:v>Module 1</x:v>
      </x:c>
      <x:c r="E15" t="n">
        <x:f>COUNTIF('US Jun24 B EBRW M1'!$D$5:$D$31,"Easy")+COUNTIF('US Jun24 B EBRW M1'!$D$5:$D$31,"Medium")+COUNTIF('US Jun24 B EBRW M1'!$D$5:$D$31,"Hard")</x:f>
        <x:v>27</x:v>
      </x:c>
      <x:c r="F15" t="n">
        <x:f>COUNTIF('US Jun24 B EBRW M1'!$D$5:$D$31,"Easy")</x:f>
        <x:v>9</x:v>
      </x:c>
      <x:c r="G15" t="n">
        <x:f>COUNTIF('US Jun24 B EBRW M1'!$D$5:$D$31,"Medium")</x:f>
        <x:v>10</x:v>
      </x:c>
      <x:c r="H15" t="n">
        <x:f>COUNTIF('US Jun24 B EBRW M1'!$D$5:$D$31,"Hard")</x:f>
        <x:v>8</x:v>
      </x:c>
      <x:c r="I15" s="24" t="n">
        <x:f>IF(E15=0,0,H15/E15)</x:f>
        <x:v>0.2962962962962963</x:v>
      </x:c>
      <x:c r="J15" t="str">
        <x:v>≈30% Hard target</x:v>
      </x:c>
    </x:row>
    <x:row r="16">
      <x:c r="A16" t="str">
        <x:v>US Jun24 B EBRW M2</x:v>
      </x:c>
      <x:c r="B16" t="str">
        <x:v>EBRW</x:v>
      </x:c>
      <x:c r="C16" t="str">
        <x:v>US Jun24 B</x:v>
      </x:c>
      <x:c r="D16" t="str">
        <x:v>Module 2</x:v>
      </x:c>
      <x:c r="E16" t="n">
        <x:f>COUNTIF('US Jun24 B EBRW M2'!$D$5:$D$31,"Easy")+COUNTIF('US Jun24 B EBRW M2'!$D$5:$D$31,"Medium")+COUNTIF('US Jun24 B EBRW M2'!$D$5:$D$31,"Hard")</x:f>
        <x:v>27</x:v>
      </x:c>
      <x:c r="F16" t="n">
        <x:f>COUNTIF('US Jun24 B EBRW M2'!$D$5:$D$31,"Easy")</x:f>
        <x:v>8</x:v>
      </x:c>
      <x:c r="G16" t="n">
        <x:f>COUNTIF('US Jun24 B EBRW M2'!$D$5:$D$31,"Medium")</x:f>
        <x:v>8</x:v>
      </x:c>
      <x:c r="H16" t="n">
        <x:f>COUNTIF('US Jun24 B EBRW M2'!$D$5:$D$31,"Hard")</x:f>
        <x:v>11</x:v>
      </x:c>
      <x:c r="I16" s="24" t="n">
        <x:f>IF(E16=0,0,H16/E16)</x:f>
        <x:v>0.4074074074074074</x:v>
      </x:c>
      <x:c r="J16" t="str">
        <x:v>≈40% Hard target</x:v>
      </x:c>
    </x:row>
    <x:row r="17">
      <x:c r="A17" t="str">
        <x:v>US Oct24 A EBRW M1</x:v>
      </x:c>
      <x:c r="B17" t="str">
        <x:v>EBRW</x:v>
      </x:c>
      <x:c r="C17" t="str">
        <x:v>US Oct24 A</x:v>
      </x:c>
      <x:c r="D17" t="str">
        <x:v>Module 1</x:v>
      </x:c>
      <x:c r="E17" t="n">
        <x:f>COUNTIF('US Oct24 A EBRW M1'!$D$5:$D$31,"Easy")+COUNTIF('US Oct24 A EBRW M1'!$D$5:$D$31,"Medium")+COUNTIF('US Oct24 A EBRW M1'!$D$5:$D$31,"Hard")</x:f>
        <x:v>27</x:v>
      </x:c>
      <x:c r="F17" t="n">
        <x:f>COUNTIF('US Oct24 A EBRW M1'!$D$5:$D$31,"Easy")</x:f>
        <x:v>9</x:v>
      </x:c>
      <x:c r="G17" t="n">
        <x:f>COUNTIF('US Oct24 A EBRW M1'!$D$5:$D$31,"Medium")</x:f>
        <x:v>10</x:v>
      </x:c>
      <x:c r="H17" t="n">
        <x:f>COUNTIF('US Oct24 A EBRW M1'!$D$5:$D$31,"Hard")</x:f>
        <x:v>8</x:v>
      </x:c>
      <x:c r="I17" s="24" t="n">
        <x:f>IF(E17=0,0,H17/E17)</x:f>
        <x:v>0.2962962962962963</x:v>
      </x:c>
      <x:c r="J17" t="str">
        <x:v>≈30% Hard target</x:v>
      </x:c>
    </x:row>
    <x:row r="18">
      <x:c r="A18" t="str">
        <x:v>US Oct24 A EBRW M2</x:v>
      </x:c>
      <x:c r="B18" t="str">
        <x:v>EBRW</x:v>
      </x:c>
      <x:c r="C18" t="str">
        <x:v>US Oct24 A</x:v>
      </x:c>
      <x:c r="D18" t="str">
        <x:v>Module 2</x:v>
      </x:c>
      <x:c r="E18" t="n">
        <x:f>COUNTIF('US Oct24 A EBRW M2'!$D$5:$D$31,"Easy")+COUNTIF('US Oct24 A EBRW M2'!$D$5:$D$31,"Medium")+COUNTIF('US Oct24 A EBRW M2'!$D$5:$D$31,"Hard")</x:f>
        <x:v>26</x:v>
      </x:c>
      <x:c r="F18" t="n">
        <x:f>COUNTIF('US Oct24 A EBRW M2'!$D$5:$D$31,"Easy")</x:f>
        <x:v>8</x:v>
      </x:c>
      <x:c r="G18" t="n">
        <x:f>COUNTIF('US Oct24 A EBRW M2'!$D$5:$D$31,"Medium")</x:f>
        <x:v>8</x:v>
      </x:c>
      <x:c r="H18" t="n">
        <x:f>COUNTIF('US Oct24 A EBRW M2'!$D$5:$D$31,"Hard")</x:f>
        <x:v>10</x:v>
      </x:c>
      <x:c r="I18" s="24" t="n">
        <x:f>IF(E18=0,0,H18/E18)</x:f>
        <x:v>0.38461538461538464</x:v>
      </x:c>
      <x:c r="J18" t="str">
        <x:v>≈40% Hard target; missing Q22</x:v>
      </x:c>
    </x:row>
    <x:row r="19">
      <x:c r="A19" t="str">
        <x:v>US Oct24 A Math M1</x:v>
      </x:c>
      <x:c r="B19" t="str">
        <x:v>Math</x:v>
      </x:c>
      <x:c r="C19" t="str">
        <x:v>US Oct24 A</x:v>
      </x:c>
      <x:c r="D19" t="str">
        <x:v>Module 1</x:v>
      </x:c>
      <x:c r="E19" t="n">
        <x:f>COUNTIF('US Oct24 A Math M1'!$D$5:$D$26,"Easy")+COUNTIF('US Oct24 A Math M1'!$D$5:$D$26,"Medium")+COUNTIF('US Oct24 A Math M1'!$D$5:$D$26,"Hard")</x:f>
        <x:v>22</x:v>
      </x:c>
      <x:c r="F19" t="n">
        <x:f>COUNTIF('US Oct24 A Math M1'!$D$5:$D$26,"Easy")</x:f>
        <x:v>7</x:v>
      </x:c>
      <x:c r="G19" t="n">
        <x:f>COUNTIF('US Oct24 A Math M1'!$D$5:$D$26,"Medium")</x:f>
        <x:v>6</x:v>
      </x:c>
      <x:c r="H19" t="n">
        <x:f>COUNTIF('US Oct24 A Math M1'!$D$5:$D$26,"Hard")</x:f>
        <x:v>9</x:v>
      </x:c>
      <x:c r="I19" s="24" t="n">
        <x:f>IF(E19=0,0,H19/E19)</x:f>
        <x:v>0.4090909090909091</x:v>
      </x:c>
      <x:c r="J19" t="str">
        <x:v>≈40% Hard target</x:v>
      </x:c>
    </x:row>
    <x:row r="20">
      <x:c r="A20" t="str">
        <x:v>US Oct24 A Math M2</x:v>
      </x:c>
      <x:c r="B20" t="str">
        <x:v>Math</x:v>
      </x:c>
      <x:c r="C20" t="str">
        <x:v>US Oct24 A</x:v>
      </x:c>
      <x:c r="D20" t="str">
        <x:v>Module 2</x:v>
      </x:c>
      <x:c r="E20" t="n">
        <x:f>COUNTIF('US Oct24 A Math M2'!$D$5:$D$26,"Easy")+COUNTIF('US Oct24 A Math M2'!$D$5:$D$26,"Medium")+COUNTIF('US Oct24 A Math M2'!$D$5:$D$26,"Hard")</x:f>
        <x:v>22</x:v>
      </x:c>
      <x:c r="F20" t="n">
        <x:f>COUNTIF('US Oct24 A Math M2'!$D$5:$D$26,"Easy")</x:f>
        <x:v>5</x:v>
      </x:c>
      <x:c r="G20" t="n">
        <x:f>COUNTIF('US Oct24 A Math M2'!$D$5:$D$26,"Medium")</x:f>
        <x:v>4</x:v>
      </x:c>
      <x:c r="H20" t="n">
        <x:f>COUNTIF('US Oct24 A Math M2'!$D$5:$D$26,"Hard")</x:f>
        <x:v>13</x:v>
      </x:c>
      <x:c r="I20" s="24" t="n">
        <x:f>IF(E20=0,0,H20/E20)</x:f>
        <x:v>0.5909090909090909</x:v>
      </x:c>
      <x:c r="J20" t="str">
        <x:v>≈60% Hard target</x:v>
      </x:c>
    </x:row>
    <x:row r="21">
      <x:c r="A21" t="str">
        <x:v>US Oct24 B EBRW M1</x:v>
      </x:c>
      <x:c r="B21" t="str">
        <x:v>EBRW</x:v>
      </x:c>
      <x:c r="C21" t="str">
        <x:v>US Oct24 B</x:v>
      </x:c>
      <x:c r="D21" t="str">
        <x:v>Module 1</x:v>
      </x:c>
      <x:c r="E21" t="n">
        <x:f>COUNTIF('US Oct24 B EBRW M1'!$D$5:$D$31,"Easy")+COUNTIF('US Oct24 B EBRW M1'!$D$5:$D$31,"Medium")+COUNTIF('US Oct24 B EBRW M1'!$D$5:$D$31,"Hard")</x:f>
        <x:v>27</x:v>
      </x:c>
      <x:c r="F21" t="n">
        <x:f>COUNTIF('US Oct24 B EBRW M1'!$D$5:$D$31,"Easy")</x:f>
        <x:v>9</x:v>
      </x:c>
      <x:c r="G21" t="n">
        <x:f>COUNTIF('US Oct24 B EBRW M1'!$D$5:$D$31,"Medium")</x:f>
        <x:v>10</x:v>
      </x:c>
      <x:c r="H21" t="n">
        <x:f>COUNTIF('US Oct24 B EBRW M1'!$D$5:$D$31,"Hard")</x:f>
        <x:v>8</x:v>
      </x:c>
      <x:c r="I21" s="24" t="n">
        <x:f>IF(E21=0,0,H21/E21)</x:f>
        <x:v>0.2962962962962963</x:v>
      </x:c>
      <x:c r="J21" t="str">
        <x:v>≈30% Hard target</x:v>
      </x:c>
    </x:row>
    <x:row r="22">
      <x:c r="A22" t="str">
        <x:v>US Oct24 B EBRW M2</x:v>
      </x:c>
      <x:c r="B22" t="str">
        <x:v>EBRW</x:v>
      </x:c>
      <x:c r="C22" t="str">
        <x:v>US Oct24 B</x:v>
      </x:c>
      <x:c r="D22" t="str">
        <x:v>Module 2</x:v>
      </x:c>
      <x:c r="E22" t="n">
        <x:f>COUNTIF('US Oct24 B EBRW M2'!$D$5:$D$31,"Easy")+COUNTIF('US Oct24 B EBRW M2'!$D$5:$D$31,"Medium")+COUNTIF('US Oct24 B EBRW M2'!$D$5:$D$31,"Hard")</x:f>
        <x:v>27</x:v>
      </x:c>
      <x:c r="F22" t="n">
        <x:f>COUNTIF('US Oct24 B EBRW M2'!$D$5:$D$31,"Easy")</x:f>
        <x:v>8</x:v>
      </x:c>
      <x:c r="G22" t="n">
        <x:f>COUNTIF('US Oct24 B EBRW M2'!$D$5:$D$31,"Medium")</x:f>
        <x:v>8</x:v>
      </x:c>
      <x:c r="H22" t="n">
        <x:f>COUNTIF('US Oct24 B EBRW M2'!$D$5:$D$31,"Hard")</x:f>
        <x:v>11</x:v>
      </x:c>
      <x:c r="I22" s="24" t="n">
        <x:f>IF(E22=0,0,H22/E22)</x:f>
        <x:v>0.4074074074074074</x:v>
      </x:c>
      <x:c r="J22" t="str">
        <x:v>≈40% Hard target</x:v>
      </x:c>
    </x:row>
    <x:row r="23">
      <x:c r="A23" t="str">
        <x:v>US Oct24 B Math M1</x:v>
      </x:c>
      <x:c r="B23" t="str">
        <x:v>Math</x:v>
      </x:c>
      <x:c r="C23" t="str">
        <x:v>US Oct24 B</x:v>
      </x:c>
      <x:c r="D23" t="str">
        <x:v>Module 1</x:v>
      </x:c>
      <x:c r="E23" t="n">
        <x:f>COUNTIF('US Oct24 B Math M1'!$D$5:$D$26,"Easy")+COUNTIF('US Oct24 B Math M1'!$D$5:$D$26,"Medium")+COUNTIF('US Oct24 B Math M1'!$D$5:$D$26,"Hard")</x:f>
        <x:v>21</x:v>
      </x:c>
      <x:c r="F23" t="n">
        <x:f>COUNTIF('US Oct24 B Math M1'!$D$5:$D$26,"Easy")</x:f>
        <x:v>7</x:v>
      </x:c>
      <x:c r="G23" t="n">
        <x:f>COUNTIF('US Oct24 B Math M1'!$D$5:$D$26,"Medium")</x:f>
        <x:v>6</x:v>
      </x:c>
      <x:c r="H23" t="n">
        <x:f>COUNTIF('US Oct24 B Math M1'!$D$5:$D$26,"Hard")</x:f>
        <x:v>8</x:v>
      </x:c>
      <x:c r="I23" s="24" t="n">
        <x:f>IF(E23=0,0,H23/E23)</x:f>
        <x:v>0.38095238095238093</x:v>
      </x:c>
      <x:c r="J23" t="str">
        <x:v>≈40% Hard target; missing Q18</x:v>
      </x:c>
    </x:row>
    <x:row r="24">
      <x:c r="A24" t="str">
        <x:v>US Oct24 B Math M2</x:v>
      </x:c>
      <x:c r="B24" t="str">
        <x:v>Math</x:v>
      </x:c>
      <x:c r="C24" t="str">
        <x:v>US Oct24 B</x:v>
      </x:c>
      <x:c r="D24" t="str">
        <x:v>Module 2</x:v>
      </x:c>
      <x:c r="E24" t="n">
        <x:f>COUNTIF('US Oct24 B Math M2'!$D$5:$D$26,"Easy")+COUNTIF('US Oct24 B Math M2'!$D$5:$D$26,"Medium")+COUNTIF('US Oct24 B Math M2'!$D$5:$D$26,"Hard")</x:f>
        <x:v>22</x:v>
      </x:c>
      <x:c r="F24" t="n">
        <x:f>COUNTIF('US Oct24 B Math M2'!$D$5:$D$26,"Easy")</x:f>
        <x:v>5</x:v>
      </x:c>
      <x:c r="G24" t="n">
        <x:f>COUNTIF('US Oct24 B Math M2'!$D$5:$D$26,"Medium")</x:f>
        <x:v>4</x:v>
      </x:c>
      <x:c r="H24" t="n">
        <x:f>COUNTIF('US Oct24 B Math M2'!$D$5:$D$26,"Hard")</x:f>
        <x:v>13</x:v>
      </x:c>
      <x:c r="I24" s="24" t="n">
        <x:f>IF(E24=0,0,H24/E24)</x:f>
        <x:v>0.5909090909090909</x:v>
      </x:c>
      <x:c r="J24" t="str">
        <x:v>≈60% Hard target</x:v>
      </x:c>
    </x:row>
    <x:row r="27">
      <x:c r="A27" s="5" t="str">
        <x:v>Sources &amp; Methodology</x:v>
      </x:c>
      <x:c r="B27" s="5"/>
      <x:c r="C27" s="5"/>
      <x:c r="D27" s="5"/>
      <x:c r="E27" s="5"/>
      <x:c r="F27" s="5"/>
      <x:c r="G27" s="5"/>
      <x:c r="H27" s="5"/>
      <x:c r="I27" s="5"/>
      <x:c r="J27" s="5"/>
    </x:row>
    <x:row r="28">
      <x:c r="A28" s="26" t="str">
        <x:v>Source 1</x:v>
      </x:c>
      <x:c r="B28" s="26" t="str">
        <x:v>SAT Int - 12.2024 B.pdf</x:v>
      </x:c>
    </x:row>
    <x:row r="29">
      <x:c r="A29" s="26" t="str">
        <x:v>Source 2</x:v>
      </x:c>
      <x:c r="B29" s="26" t="str">
        <x:v>SAT Int - 12.2024 C.pdf</x:v>
      </x:c>
    </x:row>
    <x:row r="30">
      <x:c r="A30" s="26" t="str">
        <x:v>Source 3</x:v>
      </x:c>
      <x:c r="B30" s="26" t="str">
        <x:v>SAT US - 06.2024 A.pdf</x:v>
      </x:c>
    </x:row>
    <x:row r="31">
      <x:c r="A31" s="26" t="str">
        <x:v>Source 4</x:v>
      </x:c>
      <x:c r="B31" s="26" t="str">
        <x:v>SAT US - 06.2024 B.pdf</x:v>
      </x:c>
    </x:row>
    <x:row r="32">
      <x:c r="A32" s="26" t="str">
        <x:v>Source 5</x:v>
      </x:c>
      <x:c r="B32" s="26" t="str">
        <x:v>SAT US - 10.2024 A.pdf</x:v>
      </x:c>
    </x:row>
    <x:row r="33">
      <x:c r="A33" s="26" t="str">
        <x:v>Source 6</x:v>
      </x:c>
      <x:c r="B33" s="26" t="str">
        <x:v>SAT US - 10.2024 B.pdf</x:v>
      </x:c>
    </x:row>
    <x:row r="34">
      <x:c r="A34" s="26" t="str">
        <x:v>Method</x:v>
      </x:c>
      <x:c r="B34" s="26" t="str">
        <x:v>Domains and skills use the Digital SAT Suite taxonomy. Pattern labels describe the recurring question structure.</x:v>
      </x:c>
    </x:row>
    <x:row r="35">
      <x:c r="A35" s="26" t="str">
        <x:v>Difficulty</x:v>
      </x:c>
      <x:c r="B35" s="26" t="str">
        <x:v>Easy / Medium / Hard ratings are estimated, not official College Board item-difficulty metadata.</x:v>
      </x:c>
    </x:row>
    <x:row r="36">
      <x:c r="A36" s="26" t="str">
        <x:v>Missing items</x:v>
      </x:c>
      <x:c r="B36" s="26" t="str">
        <x:v>US Jun24 A EBRW M1 Q21; US Oct24 A EBRW M2 Q22; US Oct24 B Math M1 Q18 are marked missing rather than invented.</x:v>
      </x:c>
    </x:row>
  </x:sheetData>
  <x:mergeCells>
    <x:mergeCell ref="A1:J1"/>
    <x:mergeCell ref="A2:J2"/>
    <x:mergeCell ref="A27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INT Dec24 B EBRW M1 — Pattern Analysis</x:v>
      </x:c>
      <x:c r="B1" s="5"/>
      <x:c r="C1" s="5"/>
      <x:c r="D1" s="5"/>
      <x:c r="E1" s="5"/>
    </x:row>
    <x:row r="2">
      <x:c r="A2" s="12" t="str">
        <x:v>Target difficulty: ≈30%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Craft &amp; Structure</x:v>
      </x:c>
      <x:c r="C5" s="26" t="str">
        <x:v>Words in Context</x:v>
      </x:c>
      <x:c r="D5" s="26" t="str">
        <x:v>Easy</x:v>
      </x:c>
      <x:c r="E5" s="26" t="str">
        <x:v>Determine contextual meaning or choose the most precise word/phrase</x:v>
      </x:c>
    </x:row>
    <x:row r="6">
      <x:c r="A6" s="26" t="n">
        <x:v>2</x:v>
      </x:c>
      <x:c r="B6" s="26" t="str">
        <x:v>Craft &amp; Structure</x:v>
      </x:c>
      <x:c r="C6" s="26" t="str">
        <x:v>Words in Context</x:v>
      </x:c>
      <x:c r="D6" s="26" t="str">
        <x:v>Easy</x:v>
      </x:c>
      <x:c r="E6" s="26" t="str">
        <x:v>Determine contextual meaning or choose the most precise word/phrase</x:v>
      </x:c>
    </x:row>
    <x:row r="7">
      <x:c r="A7" s="26" t="n">
        <x:v>3</x:v>
      </x:c>
      <x:c r="B7" s="26" t="str">
        <x:v>Craft &amp; Structure</x:v>
      </x:c>
      <x:c r="C7" s="26" t="str">
        <x:v>Words in Context</x:v>
      </x:c>
      <x:c r="D7" s="26" t="str">
        <x:v>Easy</x:v>
      </x:c>
      <x:c r="E7" s="26" t="str">
        <x:v>Determine contextual meaning or choose the most precise word/phrase</x:v>
      </x:c>
    </x:row>
    <x:row r="8">
      <x:c r="A8" s="26" t="n">
        <x:v>4</x:v>
      </x:c>
      <x:c r="B8" s="26" t="str">
        <x:v>Craft &amp; Structure</x:v>
      </x:c>
      <x:c r="C8" s="26" t="str">
        <x:v>Words in Context</x:v>
      </x:c>
      <x:c r="D8" s="26" t="str">
        <x:v>Easy</x:v>
      </x:c>
      <x:c r="E8" s="26" t="str">
        <x:v>Determine contextual meaning or choose the most precise word/phrase</x:v>
      </x:c>
    </x:row>
    <x:row r="9">
      <x:c r="A9" s="26" t="n">
        <x:v>5</x:v>
      </x:c>
      <x:c r="B9" s="26" t="str">
        <x:v>Craft &amp; Structure</x:v>
      </x:c>
      <x:c r="C9" s="26" t="str">
        <x:v>Words in Context</x:v>
      </x:c>
      <x:c r="D9" s="26" t="str">
        <x:v>Easy</x:v>
      </x:c>
      <x:c r="E9" s="26" t="str">
        <x:v>Determine contextual meaning or choose the most precise word/phrase</x:v>
      </x:c>
    </x:row>
    <x:row r="10">
      <x:c r="A10" s="26" t="n">
        <x:v>6</x:v>
      </x:c>
      <x:c r="B10" s="26" t="str">
        <x:v>Craft &amp; Structure</x:v>
      </x:c>
      <x:c r="C10" s="26" t="str">
        <x:v>Text Structure &amp; Purpose</x:v>
      </x:c>
      <x:c r="D10" s="26" t="str">
        <x:v>Medium</x:v>
      </x:c>
      <x:c r="E10" s="26" t="str">
        <x:v>Analyze the function, purpose, or organization of the text</x:v>
      </x:c>
    </x:row>
    <x:row r="11">
      <x:c r="A11" s="26" t="n">
        <x:v>7</x:v>
      </x:c>
      <x:c r="B11" s="26" t="str">
        <x:v>Craft &amp; Structure</x:v>
      </x:c>
      <x:c r="C11" s="26" t="str">
        <x:v>Text Structure &amp; Purpose</x:v>
      </x:c>
      <x:c r="D11" s="26" t="str">
        <x:v>Hard</x:v>
      </x:c>
      <x:c r="E11" s="26" t="str">
        <x:v>Analyze the function, purpose, or organization of the text</x:v>
      </x:c>
    </x:row>
    <x:row r="12">
      <x:c r="A12" s="26" t="n">
        <x:v>8</x:v>
      </x:c>
      <x:c r="B12" s="26" t="str">
        <x:v>Craft &amp; Structure</x:v>
      </x:c>
      <x:c r="C12" s="26" t="str">
        <x:v>Text Structure &amp; Purpose</x:v>
      </x:c>
      <x:c r="D12" s="26" t="str">
        <x:v>Hard</x:v>
      </x:c>
      <x:c r="E12" s="26" t="str">
        <x:v>Analyze the function, purpose, or organization of the text</x:v>
      </x:c>
    </x:row>
    <x:row r="13">
      <x:c r="A13" s="26" t="n">
        <x:v>9</x:v>
      </x:c>
      <x:c r="B13" s="26" t="str">
        <x:v>Information &amp; Ideas</x:v>
      </x:c>
      <x:c r="C13" s="26" t="str">
        <x:v>Inferences</x:v>
      </x:c>
      <x:c r="D13" s="26" t="str">
        <x:v>Hard</x:v>
      </x:c>
      <x:c r="E13" s="26" t="str">
        <x:v>Draw the conclusion or inference best supported by the text</x:v>
      </x:c>
    </x:row>
    <x:row r="14">
      <x:c r="A14" s="26" t="n">
        <x:v>10</x:v>
      </x:c>
      <x:c r="B14" s="26" t="str">
        <x:v>Information &amp; Ideas</x:v>
      </x:c>
      <x:c r="C14" s="26" t="str">
        <x:v>Inferences</x:v>
      </x:c>
      <x:c r="D14" s="26" t="str">
        <x:v>Hard</x:v>
      </x:c>
      <x:c r="E14" s="26" t="str">
        <x:v>Draw the conclusion or inference best supported by the text</x:v>
      </x:c>
    </x:row>
    <x:row r="15">
      <x:c r="A15" s="26" t="n">
        <x:v>11</x:v>
      </x:c>
      <x:c r="B15" s="26" t="str">
        <x:v>Information &amp; Ideas</x:v>
      </x:c>
      <x:c r="C15" s="26" t="str">
        <x:v>Inferences</x:v>
      </x:c>
      <x:c r="D15" s="26" t="str">
        <x:v>Hard</x:v>
      </x:c>
      <x:c r="E15" s="26" t="str">
        <x:v>Draw the conclusion or inference best supported by the text</x:v>
      </x:c>
    </x:row>
    <x:row r="16">
      <x:c r="A16" s="26" t="n">
        <x:v>12</x:v>
      </x:c>
      <x:c r="B16" s="26" t="str">
        <x:v>Information &amp; Ideas</x:v>
      </x:c>
      <x:c r="C16" s="26" t="str">
        <x:v>Central Ideas &amp; Details</x:v>
      </x:c>
      <x:c r="D16" s="26" t="str">
        <x:v>Medium</x:v>
      </x:c>
      <x:c r="E16" s="26" t="str">
        <x:v>Identify the central idea or a key detail</x:v>
      </x:c>
    </x:row>
    <x:row r="17">
      <x:c r="A17" s="26" t="n">
        <x:v>13</x:v>
      </x:c>
      <x:c r="B17" s="26" t="str">
        <x:v>Information &amp; Ideas</x:v>
      </x:c>
      <x:c r="C17" s="26" t="str">
        <x:v>Inferences</x:v>
      </x:c>
      <x:c r="D17" s="26" t="str">
        <x:v>Hard</x:v>
      </x:c>
      <x:c r="E17" s="26" t="str">
        <x:v>Draw the conclusion or inference best supported by the text</x:v>
      </x:c>
    </x:row>
    <x:row r="18">
      <x:c r="A18" s="26" t="n">
        <x:v>14</x:v>
      </x:c>
      <x:c r="B18" s="26" t="str">
        <x:v>Information &amp; Ideas</x:v>
      </x:c>
      <x:c r="C18" s="26" t="str">
        <x:v>Command of Evidence — Quantitative</x:v>
      </x:c>
      <x:c r="D18" s="26" t="str">
        <x:v>Hard</x:v>
      </x:c>
      <x:c r="E18" s="26" t="str">
        <x:v>Use quantitative data from a table or graph to support or complete a claim</x:v>
      </x:c>
    </x:row>
    <x:row r="19">
      <x:c r="A19" s="26" t="n">
        <x:v>15</x:v>
      </x:c>
      <x:c r="B19" s="26" t="str">
        <x:v>Information &amp; Ideas</x:v>
      </x:c>
      <x:c r="C19" s="26" t="str">
        <x:v>Inferences</x:v>
      </x:c>
      <x:c r="D19" s="26" t="str">
        <x:v>Hard</x:v>
      </x:c>
      <x:c r="E19" s="26" t="str">
        <x:v>Draw the conclusion or inference best supported by the text</x:v>
      </x:c>
    </x:row>
    <x:row r="20">
      <x:c r="A20" s="26" t="n">
        <x:v>16</x:v>
      </x:c>
      <x:c r="B20" s="26" t="str">
        <x:v>Standard English Conventions</x:v>
      </x:c>
      <x:c r="C20" s="26" t="str">
        <x:v>Form, Structure &amp; Sense</x:v>
      </x:c>
      <x:c r="D20" s="26" t="str">
        <x:v>Medium</x:v>
      </x:c>
      <x:c r="E20" s="26" t="str">
        <x:v>Apply grammar, agreement, verb-form, pronoun, or modifier conventions</x:v>
      </x:c>
    </x:row>
    <x:row r="21">
      <x:c r="A21" s="26" t="n">
        <x:v>17</x:v>
      </x:c>
      <x:c r="B21" s="26" t="str">
        <x:v>Standard English Conventions</x:v>
      </x:c>
      <x:c r="C21" s="26" t="str">
        <x:v>Form, Structure &amp; Sense</x:v>
      </x:c>
      <x:c r="D21" s="26" t="str">
        <x:v>Medium</x:v>
      </x:c>
      <x:c r="E21" s="26" t="str">
        <x:v>Apply grammar, agreement, verb-form, pronoun, or modifier conventions</x:v>
      </x:c>
    </x:row>
    <x:row r="22">
      <x:c r="A22" s="26" t="n">
        <x:v>18</x:v>
      </x:c>
      <x:c r="B22" s="26" t="str">
        <x:v>Standard English Conventions</x:v>
      </x:c>
      <x:c r="C22" s="26" t="str">
        <x:v>Form, Structure &amp; Sense</x:v>
      </x:c>
      <x:c r="D22" s="26" t="str">
        <x:v>Medium</x:v>
      </x:c>
      <x:c r="E22" s="26" t="str">
        <x:v>Apply grammar, agreement, verb-form, pronoun, or modifier conventions</x:v>
      </x:c>
    </x:row>
    <x:row r="23">
      <x:c r="A23" s="26" t="n">
        <x:v>19</x:v>
      </x:c>
      <x:c r="B23" s="26" t="str">
        <x:v>Standard English Conventions</x:v>
      </x:c>
      <x:c r="C23" s="26" t="str">
        <x:v>Form, Structure &amp; Sense</x:v>
      </x:c>
      <x:c r="D23" s="26" t="str">
        <x:v>Medium</x:v>
      </x:c>
      <x:c r="E23" s="26" t="str">
        <x:v>Apply grammar, agreement, verb-form, pronoun, or modifier conventions</x:v>
      </x:c>
    </x:row>
    <x:row r="24">
      <x:c r="A24" s="26" t="n">
        <x:v>20</x:v>
      </x:c>
      <x:c r="B24" s="26" t="str">
        <x:v>Standard English Conventions</x:v>
      </x:c>
      <x:c r="C24" s="26" t="str">
        <x:v>Form, Structure &amp; Sense</x:v>
      </x:c>
      <x:c r="D24" s="26" t="str">
        <x:v>Medium</x:v>
      </x:c>
      <x:c r="E24" s="26" t="str">
        <x:v>Apply grammar, agreement, verb-form, pronoun, or modifier conventions</x:v>
      </x:c>
    </x:row>
    <x:row r="25">
      <x:c r="A25" s="26" t="n">
        <x:v>21</x:v>
      </x:c>
      <x:c r="B25" s="26" t="str">
        <x:v>Expression of Ideas</x:v>
      </x:c>
      <x:c r="C25" s="26" t="str">
        <x:v>Transitions</x:v>
      </x:c>
      <x:c r="D25" s="26" t="str">
        <x:v>Easy</x:v>
      </x:c>
      <x:c r="E25" s="26" t="str">
        <x:v>Choose the transition that best expresses the logical relationship</x:v>
      </x:c>
    </x:row>
    <x:row r="26">
      <x:c r="A26" s="26" t="n">
        <x:v>22</x:v>
      </x:c>
      <x:c r="B26" s="26" t="str">
        <x:v>Expression of Ideas</x:v>
      </x:c>
      <x:c r="C26" s="26" t="str">
        <x:v>Transitions</x:v>
      </x:c>
      <x:c r="D26" s="26" t="str">
        <x:v>Easy</x:v>
      </x:c>
      <x:c r="E26" s="26" t="str">
        <x:v>Choose the transition that best expresses the logical relationship</x:v>
      </x:c>
    </x:row>
    <x:row r="27">
      <x:c r="A27" s="26" t="n">
        <x:v>23</x:v>
      </x:c>
      <x:c r="B27" s="26" t="str">
        <x:v>Expression of Ideas</x:v>
      </x:c>
      <x:c r="C27" s="26" t="str">
        <x:v>Transitions</x:v>
      </x:c>
      <x:c r="D27" s="26" t="str">
        <x:v>Easy</x:v>
      </x:c>
      <x:c r="E27" s="26" t="str">
        <x:v>Choose the transition that best expresses the logical relationship</x:v>
      </x:c>
    </x:row>
    <x:row r="28">
      <x:c r="A28" s="26" t="n">
        <x:v>24</x:v>
      </x:c>
      <x:c r="B28" s="26" t="str">
        <x:v>Expression of Ideas</x:v>
      </x:c>
      <x:c r="C28" s="26" t="str">
        <x:v>Rhetorical Synthesis</x:v>
      </x:c>
      <x:c r="D28" s="26" t="str">
        <x:v>Easy</x:v>
      </x:c>
      <x:c r="E28" s="26" t="str">
        <x:v>Use notes to satisfy a specified rhetorical goal</x:v>
      </x:c>
    </x:row>
    <x:row r="29">
      <x:c r="A29" s="26" t="n">
        <x:v>25</x:v>
      </x:c>
      <x:c r="B29" s="26" t="str">
        <x:v>Expression of Ideas</x:v>
      </x:c>
      <x:c r="C29" s="26" t="str">
        <x:v>Rhetorical Synthesis</x:v>
      </x:c>
      <x:c r="D29" s="26" t="str">
        <x:v>Medium</x:v>
      </x:c>
      <x:c r="E29" s="26" t="str">
        <x:v>Use notes to satisfy a specified rhetorical goal</x:v>
      </x:c>
    </x:row>
    <x:row r="30">
      <x:c r="A30" s="26" t="n">
        <x:v>26</x:v>
      </x:c>
      <x:c r="B30" s="26" t="str">
        <x:v>Expression of Ideas</x:v>
      </x:c>
      <x:c r="C30" s="26" t="str">
        <x:v>Rhetorical Synthesis</x:v>
      </x:c>
      <x:c r="D30" s="26" t="str">
        <x:v>Medium</x:v>
      </x:c>
      <x:c r="E30" s="26" t="str">
        <x:v>Use notes to satisfy a specified rhetorical goal</x:v>
      </x:c>
    </x:row>
    <x:row r="31">
      <x:c r="A31" s="26" t="n">
        <x:v>27</x:v>
      </x:c>
      <x:c r="B31" s="26" t="str">
        <x:v>Expression of Ideas</x:v>
      </x:c>
      <x:c r="C31" s="26" t="str">
        <x:v>Rhetorical Synthesis</x:v>
      </x:c>
      <x:c r="D31" s="26" t="str">
        <x:v>Medium</x:v>
      </x:c>
      <x:c r="E31" s="26" t="str">
        <x:v>Use notes to satisfy a specified rhetorical goal</x:v>
      </x:c>
    </x:row>
  </x:sheetData>
  <x:mergeCells>
    <x:mergeCell ref="A1:E1"/>
    <x:mergeCell ref="A2:E2"/>
  </x:mergeCells>
  <x:conditionalFormatting sqref="D5:D31">
    <x:cfRule type="expression" dxfId="0" priority="1">
      <x:formula>D5="Easy"</x:formula>
    </x:cfRule>
    <x:cfRule type="expression" dxfId="1" priority="2">
      <x:formula>D5="Medium"</x:formula>
    </x:cfRule>
    <x:cfRule type="expression" dxfId="2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d4f6bedb364d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INT Dec24 B EBRW M2 — Pattern Analysis</x:v>
      </x:c>
      <x:c r="B1" s="5"/>
      <x:c r="C1" s="5"/>
      <x:c r="D1" s="5"/>
      <x:c r="E1" s="5"/>
    </x:row>
    <x:row r="2">
      <x:c r="A2" s="12" t="str">
        <x:v>Target difficulty: ≈40%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Craft &amp; Structure</x:v>
      </x:c>
      <x:c r="C5" s="26" t="str">
        <x:v>Words in Context</x:v>
      </x:c>
      <x:c r="D5" s="26" t="str">
        <x:v>Easy</x:v>
      </x:c>
      <x:c r="E5" s="26" t="str">
        <x:v>Determine contextual meaning or choose the most precise word/phrase</x:v>
      </x:c>
    </x:row>
    <x:row r="6">
      <x:c r="A6" s="26" t="n">
        <x:v>2</x:v>
      </x:c>
      <x:c r="B6" s="26" t="str">
        <x:v>Craft &amp; Structure</x:v>
      </x:c>
      <x:c r="C6" s="26" t="str">
        <x:v>Words in Context</x:v>
      </x:c>
      <x:c r="D6" s="26" t="str">
        <x:v>Easy</x:v>
      </x:c>
      <x:c r="E6" s="26" t="str">
        <x:v>Determine contextual meaning or choose the most precise word/phrase</x:v>
      </x:c>
    </x:row>
    <x:row r="7">
      <x:c r="A7" s="26" t="n">
        <x:v>3</x:v>
      </x:c>
      <x:c r="B7" s="26" t="str">
        <x:v>Craft &amp; Structure</x:v>
      </x:c>
      <x:c r="C7" s="26" t="str">
        <x:v>Words in Context</x:v>
      </x:c>
      <x:c r="D7" s="26" t="str">
        <x:v>Easy</x:v>
      </x:c>
      <x:c r="E7" s="26" t="str">
        <x:v>Determine contextual meaning or choose the most precise word/phrase</x:v>
      </x:c>
    </x:row>
    <x:row r="8">
      <x:c r="A8" s="26" t="n">
        <x:v>4</x:v>
      </x:c>
      <x:c r="B8" s="26" t="str">
        <x:v>Craft &amp; Structure</x:v>
      </x:c>
      <x:c r="C8" s="26" t="str">
        <x:v>Words in Context</x:v>
      </x:c>
      <x:c r="D8" s="26" t="str">
        <x:v>Easy</x:v>
      </x:c>
      <x:c r="E8" s="26" t="str">
        <x:v>Determine contextual meaning or choose the most precise word/phrase</x:v>
      </x:c>
    </x:row>
    <x:row r="9">
      <x:c r="A9" s="26" t="n">
        <x:v>5</x:v>
      </x:c>
      <x:c r="B9" s="26" t="str">
        <x:v>Craft &amp; Structure</x:v>
      </x:c>
      <x:c r="C9" s="26" t="str">
        <x:v>Words in Context</x:v>
      </x:c>
      <x:c r="D9" s="26" t="str">
        <x:v>Easy</x:v>
      </x:c>
      <x:c r="E9" s="26" t="str">
        <x:v>Determine contextual meaning or choose the most precise word/phrase</x:v>
      </x:c>
    </x:row>
    <x:row r="10">
      <x:c r="A10" s="26" t="n">
        <x:v>6</x:v>
      </x:c>
      <x:c r="B10" s="26" t="str">
        <x:v>Craft &amp; Structure</x:v>
      </x:c>
      <x:c r="C10" s="26" t="str">
        <x:v>Text Structure &amp; Purpose</x:v>
      </x:c>
      <x:c r="D10" s="26" t="str">
        <x:v>Hard</x:v>
      </x:c>
      <x:c r="E10" s="26" t="str">
        <x:v>Analyze the function, purpose, or organization of the text</x:v>
      </x:c>
    </x:row>
    <x:row r="11">
      <x:c r="A11" s="26" t="n">
        <x:v>7</x:v>
      </x:c>
      <x:c r="B11" s="26" t="str">
        <x:v>Craft &amp; Structure</x:v>
      </x:c>
      <x:c r="C11" s="26" t="str">
        <x:v>Text Structure &amp; Purpose</x:v>
      </x:c>
      <x:c r="D11" s="26" t="str">
        <x:v>Hard</x:v>
      </x:c>
      <x:c r="E11" s="26" t="str">
        <x:v>Analyze the function, purpose, or organization of the text</x:v>
      </x:c>
    </x:row>
    <x:row r="12">
      <x:c r="A12" s="26" t="n">
        <x:v>8</x:v>
      </x:c>
      <x:c r="B12" s="26" t="str">
        <x:v>Craft &amp; Structure</x:v>
      </x:c>
      <x:c r="C12" s="26" t="str">
        <x:v>Text Structure &amp; Purpose</x:v>
      </x:c>
      <x:c r="D12" s="26" t="str">
        <x:v>Hard</x:v>
      </x:c>
      <x:c r="E12" s="26" t="str">
        <x:v>Analyze the function, purpose, or organization of the text</x:v>
      </x:c>
    </x:row>
    <x:row r="13">
      <x:c r="A13" s="26" t="n">
        <x:v>9</x:v>
      </x:c>
      <x:c r="B13" s="26" t="str">
        <x:v>Information &amp; Ideas</x:v>
      </x:c>
      <x:c r="C13" s="26" t="str">
        <x:v>Command of Evidence — Quantitative</x:v>
      </x:c>
      <x:c r="D13" s="26" t="str">
        <x:v>Hard</x:v>
      </x:c>
      <x:c r="E13" s="26" t="str">
        <x:v>Use quantitative data from a table or graph to support or complete a claim</x:v>
      </x:c>
    </x:row>
    <x:row r="14">
      <x:c r="A14" s="26" t="n">
        <x:v>10</x:v>
      </x:c>
      <x:c r="B14" s="26" t="str">
        <x:v>Information &amp; Ideas</x:v>
      </x:c>
      <x:c r="C14" s="26" t="str">
        <x:v>Inferences</x:v>
      </x:c>
      <x:c r="D14" s="26" t="str">
        <x:v>Hard</x:v>
      </x:c>
      <x:c r="E14" s="26" t="str">
        <x:v>Draw the conclusion or inference best supported by the text</x:v>
      </x:c>
    </x:row>
    <x:row r="15">
      <x:c r="A15" s="26" t="n">
        <x:v>11</x:v>
      </x:c>
      <x:c r="B15" s="26" t="str">
        <x:v>Information &amp; Ideas</x:v>
      </x:c>
      <x:c r="C15" s="26" t="str">
        <x:v>Inferences</x:v>
      </x:c>
      <x:c r="D15" s="26" t="str">
        <x:v>Hard</x:v>
      </x:c>
      <x:c r="E15" s="26" t="str">
        <x:v>Draw the conclusion or inference best supported by the text</x:v>
      </x:c>
    </x:row>
    <x:row r="16">
      <x:c r="A16" s="26" t="n">
        <x:v>12</x:v>
      </x:c>
      <x:c r="B16" s="26" t="str">
        <x:v>Information &amp; Ideas</x:v>
      </x:c>
      <x:c r="C16" s="26" t="str">
        <x:v>Inferences</x:v>
      </x:c>
      <x:c r="D16" s="26" t="str">
        <x:v>Hard</x:v>
      </x:c>
      <x:c r="E16" s="26" t="str">
        <x:v>Draw the conclusion or inference best supported by the text</x:v>
      </x:c>
    </x:row>
    <x:row r="17">
      <x:c r="A17" s="26" t="n">
        <x:v>13</x:v>
      </x:c>
      <x:c r="B17" s="26" t="str">
        <x:v>Information &amp; Ideas</x:v>
      </x:c>
      <x:c r="C17" s="26" t="str">
        <x:v>Inferences</x:v>
      </x:c>
      <x:c r="D17" s="26" t="str">
        <x:v>Hard</x:v>
      </x:c>
      <x:c r="E17" s="26" t="str">
        <x:v>Draw the conclusion or inference best supported by the text</x:v>
      </x:c>
    </x:row>
    <x:row r="18">
      <x:c r="A18" s="26" t="n">
        <x:v>14</x:v>
      </x:c>
      <x:c r="B18" s="26" t="str">
        <x:v>Information &amp; Ideas</x:v>
      </x:c>
      <x:c r="C18" s="26" t="str">
        <x:v>Inferences</x:v>
      </x:c>
      <x:c r="D18" s="26" t="str">
        <x:v>Hard</x:v>
      </x:c>
      <x:c r="E18" s="26" t="str">
        <x:v>Draw the conclusion or inference best supported by the text</x:v>
      </x:c>
    </x:row>
    <x:row r="19">
      <x:c r="A19" s="26" t="n">
        <x:v>15</x:v>
      </x:c>
      <x:c r="B19" s="26" t="str">
        <x:v>Information &amp; Ideas</x:v>
      </x:c>
      <x:c r="C19" s="26" t="str">
        <x:v>Inferences</x:v>
      </x:c>
      <x:c r="D19" s="26" t="str">
        <x:v>Hard</x:v>
      </x:c>
      <x:c r="E19" s="26" t="str">
        <x:v>Draw the conclusion or inference best supported by the text</x:v>
      </x:c>
    </x:row>
    <x:row r="20">
      <x:c r="A20" s="26" t="n">
        <x:v>16</x:v>
      </x:c>
      <x:c r="B20" s="26" t="str">
        <x:v>Standard English Conventions</x:v>
      </x:c>
      <x:c r="C20" s="26" t="str">
        <x:v>Form, Structure &amp; Sense</x:v>
      </x:c>
      <x:c r="D20" s="26" t="str">
        <x:v>Medium</x:v>
      </x:c>
      <x:c r="E20" s="26" t="str">
        <x:v>Apply grammar, agreement, verb-form, pronoun, or modifier conventions</x:v>
      </x:c>
    </x:row>
    <x:row r="21">
      <x:c r="A21" s="26" t="n">
        <x:v>17</x:v>
      </x:c>
      <x:c r="B21" s="26" t="str">
        <x:v>Standard English Conventions</x:v>
      </x:c>
      <x:c r="C21" s="26" t="str">
        <x:v>Form, Structure &amp; Sense</x:v>
      </x:c>
      <x:c r="D21" s="26" t="str">
        <x:v>Medium</x:v>
      </x:c>
      <x:c r="E21" s="26" t="str">
        <x:v>Apply grammar, agreement, verb-form, pronoun, or modifier conventions</x:v>
      </x:c>
    </x:row>
    <x:row r="22">
      <x:c r="A22" s="26" t="n">
        <x:v>18</x:v>
      </x:c>
      <x:c r="B22" s="26" t="str">
        <x:v>Standard English Conventions</x:v>
      </x:c>
      <x:c r="C22" s="26" t="str">
        <x:v>Form, Structure &amp; Sense</x:v>
      </x:c>
      <x:c r="D22" s="26" t="str">
        <x:v>Medium</x:v>
      </x:c>
      <x:c r="E22" s="26" t="str">
        <x:v>Apply grammar, agreement, verb-form, pronoun, or modifier conventions</x:v>
      </x:c>
    </x:row>
    <x:row r="23">
      <x:c r="A23" s="26" t="n">
        <x:v>19</x:v>
      </x:c>
      <x:c r="B23" s="26" t="str">
        <x:v>Standard English Conventions</x:v>
      </x:c>
      <x:c r="C23" s="26" t="str">
        <x:v>Form, Structure &amp; Sense</x:v>
      </x:c>
      <x:c r="D23" s="26" t="str">
        <x:v>Medium</x:v>
      </x:c>
      <x:c r="E23" s="26" t="str">
        <x:v>Apply grammar, agreement, verb-form, pronoun, or modifier conventions</x:v>
      </x:c>
    </x:row>
    <x:row r="24">
      <x:c r="A24" s="26" t="n">
        <x:v>20</x:v>
      </x:c>
      <x:c r="B24" s="26" t="str">
        <x:v>Standard English Conventions</x:v>
      </x:c>
      <x:c r="C24" s="26" t="str">
        <x:v>Form, Structure &amp; Sense</x:v>
      </x:c>
      <x:c r="D24" s="26" t="str">
        <x:v>Hard</x:v>
      </x:c>
      <x:c r="E24" s="26" t="str">
        <x:v>Apply grammar, agreement, verb-form, pronoun, or modifier conventions</x:v>
      </x:c>
    </x:row>
    <x:row r="25">
      <x:c r="A25" s="26" t="n">
        <x:v>21</x:v>
      </x:c>
      <x:c r="B25" s="26" t="str">
        <x:v>Expression of Ideas</x:v>
      </x:c>
      <x:c r="C25" s="26" t="str">
        <x:v>Transitions</x:v>
      </x:c>
      <x:c r="D25" s="26" t="str">
        <x:v>Easy</x:v>
      </x:c>
      <x:c r="E25" s="26" t="str">
        <x:v>Choose the transition that best expresses the logical relationship</x:v>
      </x:c>
    </x:row>
    <x:row r="26">
      <x:c r="A26" s="26" t="n">
        <x:v>22</x:v>
      </x:c>
      <x:c r="B26" s="26" t="str">
        <x:v>Expression of Ideas</x:v>
      </x:c>
      <x:c r="C26" s="26" t="str">
        <x:v>Transitions</x:v>
      </x:c>
      <x:c r="D26" s="26" t="str">
        <x:v>Easy</x:v>
      </x:c>
      <x:c r="E26" s="26" t="str">
        <x:v>Choose the transition that best expresses the logical relationship</x:v>
      </x:c>
    </x:row>
    <x:row r="27">
      <x:c r="A27" s="26" t="n">
        <x:v>23</x:v>
      </x:c>
      <x:c r="B27" s="26" t="str">
        <x:v>Expression of Ideas</x:v>
      </x:c>
      <x:c r="C27" s="26" t="str">
        <x:v>Transitions</x:v>
      </x:c>
      <x:c r="D27" s="26" t="str">
        <x:v>Easy</x:v>
      </x:c>
      <x:c r="E27" s="26" t="str">
        <x:v>Choose the transition that best expresses the logical relationship</x:v>
      </x:c>
    </x:row>
    <x:row r="28">
      <x:c r="A28" s="26" t="n">
        <x:v>24</x:v>
      </x:c>
      <x:c r="B28" s="26" t="str">
        <x:v>Expression of Ideas</x:v>
      </x:c>
      <x:c r="C28" s="26" t="str">
        <x:v>Rhetorical Synthesis</x:v>
      </x:c>
      <x:c r="D28" s="26" t="str">
        <x:v>Medium</x:v>
      </x:c>
      <x:c r="E28" s="26" t="str">
        <x:v>Use notes to satisfy a specified rhetorical goal</x:v>
      </x:c>
    </x:row>
    <x:row r="29">
      <x:c r="A29" s="26" t="n">
        <x:v>25</x:v>
      </x:c>
      <x:c r="B29" s="26" t="str">
        <x:v>Expression of Ideas</x:v>
      </x:c>
      <x:c r="C29" s="26" t="str">
        <x:v>Rhetorical Synthesis</x:v>
      </x:c>
      <x:c r="D29" s="26" t="str">
        <x:v>Medium</x:v>
      </x:c>
      <x:c r="E29" s="26" t="str">
        <x:v>Use notes to satisfy a specified rhetorical goal</x:v>
      </x:c>
    </x:row>
    <x:row r="30">
      <x:c r="A30" s="26" t="n">
        <x:v>26</x:v>
      </x:c>
      <x:c r="B30" s="26" t="str">
        <x:v>Expression of Ideas</x:v>
      </x:c>
      <x:c r="C30" s="26" t="str">
        <x:v>Rhetorical Synthesis</x:v>
      </x:c>
      <x:c r="D30" s="26" t="str">
        <x:v>Medium</x:v>
      </x:c>
      <x:c r="E30" s="26" t="str">
        <x:v>Use notes to satisfy a specified rhetorical goal</x:v>
      </x:c>
    </x:row>
    <x:row r="31">
      <x:c r="A31" s="26" t="n">
        <x:v>27</x:v>
      </x:c>
      <x:c r="B31" s="26" t="str">
        <x:v>Expression of Ideas</x:v>
      </x:c>
      <x:c r="C31" s="26" t="str">
        <x:v>Rhetorical Synthesis</x:v>
      </x:c>
      <x:c r="D31" s="26" t="str">
        <x:v>Medium</x:v>
      </x:c>
      <x:c r="E31" s="26" t="str">
        <x:v>Use notes to satisfy a specified rhetorical goal</x:v>
      </x:c>
    </x:row>
  </x:sheetData>
  <x:mergeCells>
    <x:mergeCell ref="A1:E1"/>
    <x:mergeCell ref="A2:E2"/>
  </x:mergeCells>
  <x:conditionalFormatting sqref="D5:D31">
    <x:cfRule type="expression" dxfId="3" priority="1">
      <x:formula>D5="Easy"</x:formula>
    </x:cfRule>
    <x:cfRule type="expression" dxfId="4" priority="2">
      <x:formula>D5="Medium"</x:formula>
    </x:cfRule>
    <x:cfRule type="expression" dxfId="5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c9e697b29a43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INT Dec24 B Math M1 — Pattern Analysis</x:v>
      </x:c>
      <x:c r="B1" s="5"/>
      <x:c r="C1" s="5"/>
      <x:c r="D1" s="5"/>
      <x:c r="E1" s="5"/>
    </x:row>
    <x:row r="2">
      <x:c r="A2" s="12" t="str">
        <x:v>Target difficulty: ≈40%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Geometry &amp; Trigonometry</x:v>
      </x:c>
      <x:c r="C5" s="26" t="str">
        <x:v>Lines, Angles &amp; Triangles</x:v>
      </x:c>
      <x:c r="D5" s="26" t="str">
        <x:v>Hard</x:v>
      </x:c>
      <x:c r="E5" s="26" t="str">
        <x:v>Use angle, triangle, congruence, similarity, or line relationships</x:v>
      </x:c>
    </x:row>
    <x:row r="6">
      <x:c r="A6" s="26" t="n">
        <x:v>2</x:v>
      </x:c>
      <x:c r="B6" s="26" t="str">
        <x:v>Algebra</x:v>
      </x:c>
      <x:c r="C6" s="26" t="str">
        <x:v>Linear Inequalities</x:v>
      </x:c>
      <x:c r="D6" s="26" t="str">
        <x:v>Medium</x:v>
      </x:c>
      <x:c r="E6" s="26" t="str">
        <x:v>Solve, graph, or interpret a linear inequality or system of inequalities</x:v>
      </x:c>
    </x:row>
    <x:row r="7">
      <x:c r="A7" s="26" t="n">
        <x:v>3</x:v>
      </x:c>
      <x:c r="B7" s="26" t="str">
        <x:v>Algebra</x:v>
      </x:c>
      <x:c r="C7" s="26" t="str">
        <x:v>Linear Functions</x:v>
      </x:c>
      <x:c r="D7" s="26" t="str">
        <x:v>Easy</x:v>
      </x:c>
      <x:c r="E7" s="26" t="str">
        <x:v>Determine, evaluate, or interpret slope, intercepts, or a linear function</x:v>
      </x:c>
    </x:row>
    <x:row r="8">
      <x:c r="A8" s="26" t="n">
        <x:v>4</x:v>
      </x:c>
      <x:c r="B8" s="26" t="str">
        <x:v>Problem-Solving &amp; Data Analysis</x:v>
      </x:c>
      <x:c r="C8" s="26" t="str">
        <x:v>Ratios, Rates, Proportions &amp; Units</x:v>
      </x:c>
      <x:c r="D8" s="26" t="str">
        <x:v>Easy</x:v>
      </x:c>
      <x:c r="E8" s="26" t="str">
        <x:v>Use ratios, rates, proportions, density, or unit conversions</x:v>
      </x:c>
    </x:row>
    <x:row r="9">
      <x:c r="A9" s="26" t="n">
        <x:v>5</x:v>
      </x:c>
      <x:c r="B9" s="26" t="str">
        <x:v>Problem-Solving &amp; Data Analysis</x:v>
      </x:c>
      <x:c r="C9" s="26" t="str">
        <x:v>Two-Variable Data &amp; Models</x:v>
      </x:c>
      <x:c r="D9" s="26" t="str">
        <x:v>Hard</x:v>
      </x:c>
      <x:c r="E9" s="26" t="str">
        <x:v>Interpret a scatterplot, line of best fit, or relationship between two variables</x:v>
      </x:c>
    </x:row>
    <x:row r="10">
      <x:c r="A10" s="26" t="n">
        <x:v>6</x:v>
      </x:c>
      <x:c r="B10" s="26" t="str">
        <x:v>Advanced Math</x:v>
      </x:c>
      <x:c r="C10" s="26" t="str">
        <x:v>Nonlinear Functions</x:v>
      </x:c>
      <x:c r="D10" s="26" t="str">
        <x:v>Hard</x:v>
      </x:c>
      <x:c r="E10" s="26" t="str">
        <x:v>Evaluate, model, transform, or interpret a quadratic, exponential, or rational function</x:v>
      </x:c>
    </x:row>
    <x:row r="11">
      <x:c r="A11" s="26" t="n">
        <x:v>7</x:v>
      </x:c>
      <x:c r="B11" s="26" t="str">
        <x:v>Advanced Math</x:v>
      </x:c>
      <x:c r="C11" s="26" t="str">
        <x:v>Nonlinear Equations</x:v>
      </x:c>
      <x:c r="D11" s="26" t="str">
        <x:v>Hard</x:v>
      </x:c>
      <x:c r="E11" s="26" t="str">
        <x:v>Solve or analyze a quadratic, absolute-value, or other nonlinear equation/system</x:v>
      </x:c>
    </x:row>
    <x:row r="12">
      <x:c r="A12" s="26" t="n">
        <x:v>8</x:v>
      </x:c>
      <x:c r="B12" s="26" t="str">
        <x:v>Algebra</x:v>
      </x:c>
      <x:c r="C12" s="26" t="str">
        <x:v>Linear Functions</x:v>
      </x:c>
      <x:c r="D12" s="26" t="str">
        <x:v>Easy</x:v>
      </x:c>
      <x:c r="E12" s="26" t="str">
        <x:v>Determine, evaluate, or interpret slope, intercepts, or a linear function</x:v>
      </x:c>
    </x:row>
    <x:row r="13">
      <x:c r="A13" s="26" t="n">
        <x:v>9</x:v>
      </x:c>
      <x:c r="B13" s="26" t="str">
        <x:v>Algebra</x:v>
      </x:c>
      <x:c r="C13" s="26" t="str">
        <x:v>Systems of Two Linear Equations</x:v>
      </x:c>
      <x:c r="D13" s="26" t="str">
        <x:v>Hard</x:v>
      </x:c>
      <x:c r="E13" s="26" t="str">
        <x:v>Solve or analyze a system of two linear equations</x:v>
      </x:c>
    </x:row>
    <x:row r="14">
      <x:c r="A14" s="26" t="n">
        <x:v>10</x:v>
      </x:c>
      <x:c r="B14" s="26" t="str">
        <x:v>Algebra</x:v>
      </x:c>
      <x:c r="C14" s="26" t="str">
        <x:v>Linear Functions</x:v>
      </x:c>
      <x:c r="D14" s="26" t="str">
        <x:v>Easy</x:v>
      </x:c>
      <x:c r="E14" s="26" t="str">
        <x:v>Determine, evaluate, or interpret slope, intercepts, or a linear function</x:v>
      </x:c>
    </x:row>
    <x:row r="15">
      <x:c r="A15" s="26" t="n">
        <x:v>11</x:v>
      </x:c>
      <x:c r="B15" s="26" t="str">
        <x:v>Advanced Math</x:v>
      </x:c>
      <x:c r="C15" s="26" t="str">
        <x:v>Nonlinear Functions</x:v>
      </x:c>
      <x:c r="D15" s="26" t="str">
        <x:v>Hard</x:v>
      </x:c>
      <x:c r="E15" s="26" t="str">
        <x:v>Evaluate, model, transform, or interpret a quadratic, exponential, or rational function</x:v>
      </x:c>
    </x:row>
    <x:row r="16">
      <x:c r="A16" s="26" t="n">
        <x:v>12</x:v>
      </x:c>
      <x:c r="B16" s="26" t="str">
        <x:v>Problem-Solving &amp; Data Analysis</x:v>
      </x:c>
      <x:c r="C16" s="26" t="str">
        <x:v>One-Variable Data</x:v>
      </x:c>
      <x:c r="D16" s="26" t="str">
        <x:v>Easy</x:v>
      </x:c>
      <x:c r="E16" s="26" t="str">
        <x:v>Analyze a one-variable data set, distribution, mean, median, or range</x:v>
      </x:c>
    </x:row>
    <x:row r="17">
      <x:c r="A17" s="26" t="n">
        <x:v>13</x:v>
      </x:c>
      <x:c r="B17" s="26" t="str">
        <x:v>Problem-Solving &amp; Data Analysis</x:v>
      </x:c>
      <x:c r="C17" s="26" t="str">
        <x:v>Ratios, Rates, Proportions &amp; Units</x:v>
      </x:c>
      <x:c r="D17" s="26" t="str">
        <x:v>Medium</x:v>
      </x:c>
      <x:c r="E17" s="26" t="str">
        <x:v>Use ratios, rates, proportions, density, or unit conversions</x:v>
      </x:c>
    </x:row>
    <x:row r="18">
      <x:c r="A18" s="26" t="n">
        <x:v>14</x:v>
      </x:c>
      <x:c r="B18" s="26" t="str">
        <x:v>Algebra</x:v>
      </x:c>
      <x:c r="C18" s="26" t="str">
        <x:v>Linear Functions</x:v>
      </x:c>
      <x:c r="D18" s="26" t="str">
        <x:v>Medium</x:v>
      </x:c>
      <x:c r="E18" s="26" t="str">
        <x:v>Determine, evaluate, or interpret slope, intercepts, or a linear function</x:v>
      </x:c>
    </x:row>
    <x:row r="19">
      <x:c r="A19" s="26" t="n">
        <x:v>15</x:v>
      </x:c>
      <x:c r="B19" s="26" t="str">
        <x:v>Advanced Math</x:v>
      </x:c>
      <x:c r="C19" s="26" t="str">
        <x:v>Nonlinear Functions</x:v>
      </x:c>
      <x:c r="D19" s="26" t="str">
        <x:v>Hard</x:v>
      </x:c>
      <x:c r="E19" s="26" t="str">
        <x:v>Evaluate, model, transform, or interpret a quadratic, exponential, or rational function</x:v>
      </x:c>
    </x:row>
    <x:row r="20">
      <x:c r="A20" s="26" t="n">
        <x:v>16</x:v>
      </x:c>
      <x:c r="B20" s="26" t="str">
        <x:v>Algebra</x:v>
      </x:c>
      <x:c r="C20" s="26" t="str">
        <x:v>Linear Functions</x:v>
      </x:c>
      <x:c r="D20" s="26" t="str">
        <x:v>Medium</x:v>
      </x:c>
      <x:c r="E20" s="26" t="str">
        <x:v>Determine, evaluate, or interpret slope, intercepts, or a linear function</x:v>
      </x:c>
    </x:row>
    <x:row r="21">
      <x:c r="A21" s="26" t="n">
        <x:v>17</x:v>
      </x:c>
      <x:c r="B21" s="26" t="str">
        <x:v>Problem-Solving &amp; Data Analysis</x:v>
      </x:c>
      <x:c r="C21" s="26" t="str">
        <x:v>Percentages</x:v>
      </x:c>
      <x:c r="D21" s="26" t="str">
        <x:v>Medium</x:v>
      </x:c>
      <x:c r="E21" s="26" t="str">
        <x:v>Solve a percent, percent-change, or part-whole problem</x:v>
      </x:c>
    </x:row>
    <x:row r="22">
      <x:c r="A22" s="26" t="n">
        <x:v>18</x:v>
      </x:c>
      <x:c r="B22" s="26" t="str">
        <x:v>Geometry &amp; Trigonometry</x:v>
      </x:c>
      <x:c r="C22" s="26" t="str">
        <x:v>Area &amp; Volume</x:v>
      </x:c>
      <x:c r="D22" s="26" t="str">
        <x:v>Hard</x:v>
      </x:c>
      <x:c r="E22" s="26" t="str">
        <x:v>Apply area, surface-area, or volume relationships</x:v>
      </x:c>
    </x:row>
    <x:row r="23">
      <x:c r="A23" s="26" t="n">
        <x:v>19</x:v>
      </x:c>
      <x:c r="B23" s="26" t="str">
        <x:v>Algebra</x:v>
      </x:c>
      <x:c r="C23" s="26" t="str">
        <x:v>Linear Functions</x:v>
      </x:c>
      <x:c r="D23" s="26" t="str">
        <x:v>Medium</x:v>
      </x:c>
      <x:c r="E23" s="26" t="str">
        <x:v>Determine, evaluate, or interpret slope, intercepts, or a linear function</x:v>
      </x:c>
    </x:row>
    <x:row r="24">
      <x:c r="A24" s="26" t="n">
        <x:v>20</x:v>
      </x:c>
      <x:c r="B24" s="26" t="str">
        <x:v>Algebra</x:v>
      </x:c>
      <x:c r="C24" s="26" t="str">
        <x:v>Linear Equations in One Variable</x:v>
      </x:c>
      <x:c r="D24" s="26" t="str">
        <x:v>Easy</x:v>
      </x:c>
      <x:c r="E24" s="26" t="str">
        <x:v>Solve or interpret a linear equation in one variable</x:v>
      </x:c>
    </x:row>
    <x:row r="25">
      <x:c r="A25" s="26" t="n">
        <x:v>21</x:v>
      </x:c>
      <x:c r="B25" s="26" t="str">
        <x:v>Algebra</x:v>
      </x:c>
      <x:c r="C25" s="26" t="str">
        <x:v>Linear Equations in One Variable</x:v>
      </x:c>
      <x:c r="D25" s="26" t="str">
        <x:v>Easy</x:v>
      </x:c>
      <x:c r="E25" s="26" t="str">
        <x:v>Solve or interpret a linear equation in one variable</x:v>
      </x:c>
    </x:row>
    <x:row r="26">
      <x:c r="A26" s="26" t="n">
        <x:v>22</x:v>
      </x:c>
      <x:c r="B26" s="26" t="str">
        <x:v>Algebra</x:v>
      </x:c>
      <x:c r="C26" s="26" t="str">
        <x:v>Systems of Two Linear Equations</x:v>
      </x:c>
      <x:c r="D26" s="26" t="str">
        <x:v>Hard</x:v>
      </x:c>
      <x:c r="E26" s="26" t="str">
        <x:v>Solve or analyze a system of two linear equations</x:v>
      </x:c>
    </x:row>
  </x:sheetData>
  <x:mergeCells>
    <x:mergeCell ref="A1:E1"/>
    <x:mergeCell ref="A2:E2"/>
  </x:mergeCells>
  <x:conditionalFormatting sqref="D5:D26">
    <x:cfRule type="expression" dxfId="6" priority="1">
      <x:formula>D5="Easy"</x:formula>
    </x:cfRule>
    <x:cfRule type="expression" dxfId="7" priority="2">
      <x:formula>D5="Medium"</x:formula>
    </x:cfRule>
    <x:cfRule type="expression" dxfId="8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a0d5200f3841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INT Dec24 B Math M2 — Pattern Analysis</x:v>
      </x:c>
      <x:c r="B1" s="5"/>
      <x:c r="C1" s="5"/>
      <x:c r="D1" s="5"/>
      <x:c r="E1" s="5"/>
    </x:row>
    <x:row r="2">
      <x:c r="A2" s="12" t="str">
        <x:v>Target difficulty: ≈60%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Problem-Solving &amp; Data Analysis</x:v>
      </x:c>
      <x:c r="C5" s="26" t="str">
        <x:v>Percentages</x:v>
      </x:c>
      <x:c r="D5" s="26" t="str">
        <x:v>Easy</x:v>
      </x:c>
      <x:c r="E5" s="26" t="str">
        <x:v>Solve a percent, percent-change, or part-whole problem</x:v>
      </x:c>
    </x:row>
    <x:row r="6">
      <x:c r="A6" s="26" t="n">
        <x:v>2</x:v>
      </x:c>
      <x:c r="B6" s="26" t="str">
        <x:v>Advanced Math</x:v>
      </x:c>
      <x:c r="C6" s="26" t="str">
        <x:v>Nonlinear Equations</x:v>
      </x:c>
      <x:c r="D6" s="26" t="str">
        <x:v>Hard</x:v>
      </x:c>
      <x:c r="E6" s="26" t="str">
        <x:v>Solve or analyze a quadratic, absolute-value, or other nonlinear equation/system</x:v>
      </x:c>
    </x:row>
    <x:row r="7">
      <x:c r="A7" s="26" t="n">
        <x:v>3</x:v>
      </x:c>
      <x:c r="B7" s="26" t="str">
        <x:v>Problem-Solving &amp; Data Analysis</x:v>
      </x:c>
      <x:c r="C7" s="26" t="str">
        <x:v>Ratios, Rates, Proportions &amp; Units</x:v>
      </x:c>
      <x:c r="D7" s="26" t="str">
        <x:v>Easy</x:v>
      </x:c>
      <x:c r="E7" s="26" t="str">
        <x:v>Use ratios, rates, proportions, density, or unit conversions</x:v>
      </x:c>
    </x:row>
    <x:row r="8">
      <x:c r="A8" s="26" t="n">
        <x:v>4</x:v>
      </x:c>
      <x:c r="B8" s="26" t="str">
        <x:v>Advanced Math</x:v>
      </x:c>
      <x:c r="C8" s="26" t="str">
        <x:v>Equivalent Expressions</x:v>
      </x:c>
      <x:c r="D8" s="26" t="str">
        <x:v>Medium</x:v>
      </x:c>
      <x:c r="E8" s="26" t="str">
        <x:v>Rewrite, factor, expand, or compare equivalent expressions</x:v>
      </x:c>
    </x:row>
    <x:row r="9">
      <x:c r="A9" s="26" t="n">
        <x:v>5</x:v>
      </x:c>
      <x:c r="B9" s="26" t="str">
        <x:v>Geometry &amp; Trigonometry</x:v>
      </x:c>
      <x:c r="C9" s="26" t="str">
        <x:v>Circles</x:v>
      </x:c>
      <x:c r="D9" s="26" t="str">
        <x:v>Hard</x:v>
      </x:c>
      <x:c r="E9" s="26" t="str">
        <x:v>Use circle equations, radius/diameter, chords, or circumference/area</x:v>
      </x:c>
    </x:row>
    <x:row r="10">
      <x:c r="A10" s="26" t="n">
        <x:v>6</x:v>
      </x:c>
      <x:c r="B10" s="26" t="str">
        <x:v>Advanced Math</x:v>
      </x:c>
      <x:c r="C10" s="26" t="str">
        <x:v>Equivalent Expressions</x:v>
      </x:c>
      <x:c r="D10" s="26" t="str">
        <x:v>Medium</x:v>
      </x:c>
      <x:c r="E10" s="26" t="str">
        <x:v>Rewrite, factor, expand, or compare equivalent expressions</x:v>
      </x:c>
    </x:row>
    <x:row r="11">
      <x:c r="A11" s="26" t="n">
        <x:v>7</x:v>
      </x:c>
      <x:c r="B11" s="26" t="str">
        <x:v>Advanced Math</x:v>
      </x:c>
      <x:c r="C11" s="26" t="str">
        <x:v>Nonlinear Functions</x:v>
      </x:c>
      <x:c r="D11" s="26" t="str">
        <x:v>Hard</x:v>
      </x:c>
      <x:c r="E11" s="26" t="str">
        <x:v>Evaluate, model, transform, or interpret a quadratic, exponential, or rational function</x:v>
      </x:c>
    </x:row>
    <x:row r="12">
      <x:c r="A12" s="26" t="n">
        <x:v>8</x:v>
      </x:c>
      <x:c r="B12" s="26" t="str">
        <x:v>Geometry &amp; Trigonometry</x:v>
      </x:c>
      <x:c r="C12" s="26" t="str">
        <x:v>Right Triangles &amp; Trigonometry</x:v>
      </x:c>
      <x:c r="D12" s="26" t="str">
        <x:v>Hard</x:v>
      </x:c>
      <x:c r="E12" s="26" t="str">
        <x:v>Use right-triangle relationships or trigonometric ratios</x:v>
      </x:c>
    </x:row>
    <x:row r="13">
      <x:c r="A13" s="26" t="n">
        <x:v>9</x:v>
      </x:c>
      <x:c r="B13" s="26" t="str">
        <x:v>Algebra</x:v>
      </x:c>
      <x:c r="C13" s="26" t="str">
        <x:v>Linear Inequalities</x:v>
      </x:c>
      <x:c r="D13" s="26" t="str">
        <x:v>Easy</x:v>
      </x:c>
      <x:c r="E13" s="26" t="str">
        <x:v>Solve, graph, or interpret a linear inequality or system of inequalities</x:v>
      </x:c>
    </x:row>
    <x:row r="14">
      <x:c r="A14" s="26" t="n">
        <x:v>10</x:v>
      </x:c>
      <x:c r="B14" s="26" t="str">
        <x:v>Geometry &amp; Trigonometry</x:v>
      </x:c>
      <x:c r="C14" s="26" t="str">
        <x:v>Circles</x:v>
      </x:c>
      <x:c r="D14" s="26" t="str">
        <x:v>Hard</x:v>
      </x:c>
      <x:c r="E14" s="26" t="str">
        <x:v>Use circle equations, radius/diameter, chords, or circumference/area</x:v>
      </x:c>
    </x:row>
    <x:row r="15">
      <x:c r="A15" s="26" t="n">
        <x:v>11</x:v>
      </x:c>
      <x:c r="B15" s="26" t="str">
        <x:v>Geometry &amp; Trigonometry</x:v>
      </x:c>
      <x:c r="C15" s="26" t="str">
        <x:v>Lines, Angles &amp; Triangles</x:v>
      </x:c>
      <x:c r="D15" s="26" t="str">
        <x:v>Medium</x:v>
      </x:c>
      <x:c r="E15" s="26" t="str">
        <x:v>Use angle, triangle, congruence, similarity, or line relationships</x:v>
      </x:c>
    </x:row>
    <x:row r="16">
      <x:c r="A16" s="26" t="n">
        <x:v>12</x:v>
      </x:c>
      <x:c r="B16" s="26" t="str">
        <x:v>Algebra</x:v>
      </x:c>
      <x:c r="C16" s="26" t="str">
        <x:v>Linear Equations in Two Variables</x:v>
      </x:c>
      <x:c r="D16" s="26" t="str">
        <x:v>Easy</x:v>
      </x:c>
      <x:c r="E16" s="26" t="str">
        <x:v>Represent, rearrange, or interpret a linear relation in two variables</x:v>
      </x:c>
    </x:row>
    <x:row r="17">
      <x:c r="A17" s="26" t="n">
        <x:v>13</x:v>
      </x:c>
      <x:c r="B17" s="26" t="str">
        <x:v>Geometry &amp; Trigonometry</x:v>
      </x:c>
      <x:c r="C17" s="26" t="str">
        <x:v>Right Triangles &amp; Trigonometry</x:v>
      </x:c>
      <x:c r="D17" s="26" t="str">
        <x:v>Hard</x:v>
      </x:c>
      <x:c r="E17" s="26" t="str">
        <x:v>Use right-triangle relationships or trigonometric ratios</x:v>
      </x:c>
    </x:row>
    <x:row r="18">
      <x:c r="A18" s="26" t="n">
        <x:v>14</x:v>
      </x:c>
      <x:c r="B18" s="26" t="str">
        <x:v>Problem-Solving &amp; Data Analysis</x:v>
      </x:c>
      <x:c r="C18" s="26" t="str">
        <x:v>Ratios, Rates, Proportions &amp; Units</x:v>
      </x:c>
      <x:c r="D18" s="26" t="str">
        <x:v>Medium</x:v>
      </x:c>
      <x:c r="E18" s="26" t="str">
        <x:v>Use ratios, rates, proportions, density, or unit conversions</x:v>
      </x:c>
    </x:row>
    <x:row r="19">
      <x:c r="A19" s="26" t="n">
        <x:v>15</x:v>
      </x:c>
      <x:c r="B19" s="26" t="str">
        <x:v>Problem-Solving &amp; Data Analysis</x:v>
      </x:c>
      <x:c r="C19" s="26" t="str">
        <x:v>Inference / Margin of Error</x:v>
      </x:c>
      <x:c r="D19" s="26" t="str">
        <x:v>Hard</x:v>
      </x:c>
      <x:c r="E19" s="26" t="str">
        <x:v>Reason about random samples, estimates, or margin of error</x:v>
      </x:c>
    </x:row>
    <x:row r="20">
      <x:c r="A20" s="26" t="n">
        <x:v>16</x:v>
      </x:c>
      <x:c r="B20" s="26" t="str">
        <x:v>Algebra</x:v>
      </x:c>
      <x:c r="C20" s="26" t="str">
        <x:v>Linear Equations in One Variable</x:v>
      </x:c>
      <x:c r="D20" s="26" t="str">
        <x:v>Easy</x:v>
      </x:c>
      <x:c r="E20" s="26" t="str">
        <x:v>Solve or interpret a linear equation in one variable</x:v>
      </x:c>
    </x:row>
    <x:row r="21">
      <x:c r="A21" s="26" t="n">
        <x:v>17</x:v>
      </x:c>
      <x:c r="B21" s="26" t="str">
        <x:v>Advanced Math</x:v>
      </x:c>
      <x:c r="C21" s="26" t="str">
        <x:v>Nonlinear Equations</x:v>
      </x:c>
      <x:c r="D21" s="26" t="str">
        <x:v>Hard</x:v>
      </x:c>
      <x:c r="E21" s="26" t="str">
        <x:v>Solve or analyze a quadratic, absolute-value, or other nonlinear equation/system</x:v>
      </x:c>
    </x:row>
    <x:row r="22">
      <x:c r="A22" s="26" t="n">
        <x:v>18</x:v>
      </x:c>
      <x:c r="B22" s="26" t="str">
        <x:v>Advanced Math</x:v>
      </x:c>
      <x:c r="C22" s="26" t="str">
        <x:v>Nonlinear Functions</x:v>
      </x:c>
      <x:c r="D22" s="26" t="str">
        <x:v>Hard</x:v>
      </x:c>
      <x:c r="E22" s="26" t="str">
        <x:v>Evaluate, model, transform, or interpret a quadratic, exponential, or rational function</x:v>
      </x:c>
    </x:row>
    <x:row r="23">
      <x:c r="A23" s="26" t="n">
        <x:v>19</x:v>
      </x:c>
      <x:c r="B23" s="26" t="str">
        <x:v>Advanced Math</x:v>
      </x:c>
      <x:c r="C23" s="26" t="str">
        <x:v>Nonlinear Functions</x:v>
      </x:c>
      <x:c r="D23" s="26" t="str">
        <x:v>Hard</x:v>
      </x:c>
      <x:c r="E23" s="26" t="str">
        <x:v>Evaluate, model, transform, or interpret a quadratic, exponential, or rational function</x:v>
      </x:c>
    </x:row>
    <x:row r="24">
      <x:c r="A24" s="26" t="n">
        <x:v>20</x:v>
      </x:c>
      <x:c r="B24" s="26" t="str">
        <x:v>Advanced Math</x:v>
      </x:c>
      <x:c r="C24" s="26" t="str">
        <x:v>Nonlinear Functions</x:v>
      </x:c>
      <x:c r="D24" s="26" t="str">
        <x:v>Hard</x:v>
      </x:c>
      <x:c r="E24" s="26" t="str">
        <x:v>Evaluate, model, transform, or interpret a quadratic, exponential, or rational function</x:v>
      </x:c>
    </x:row>
    <x:row r="25">
      <x:c r="A25" s="26" t="n">
        <x:v>21</x:v>
      </x:c>
      <x:c r="B25" s="26" t="str">
        <x:v>Algebra</x:v>
      </x:c>
      <x:c r="C25" s="26" t="str">
        <x:v>Systems of Two Linear Equations</x:v>
      </x:c>
      <x:c r="D25" s="26" t="str">
        <x:v>Hard</x:v>
      </x:c>
      <x:c r="E25" s="26" t="str">
        <x:v>Solve or analyze a system of two linear equations</x:v>
      </x:c>
    </x:row>
    <x:row r="26">
      <x:c r="A26" s="26" t="n">
        <x:v>22</x:v>
      </x:c>
      <x:c r="B26" s="26" t="str">
        <x:v>Advanced Math</x:v>
      </x:c>
      <x:c r="C26" s="26" t="str">
        <x:v>Nonlinear Equations</x:v>
      </x:c>
      <x:c r="D26" s="26" t="str">
        <x:v>Hard</x:v>
      </x:c>
      <x:c r="E26" s="26" t="str">
        <x:v>Solve or analyze a quadratic, absolute-value, or other nonlinear equation/system</x:v>
      </x:c>
    </x:row>
  </x:sheetData>
  <x:mergeCells>
    <x:mergeCell ref="A1:E1"/>
    <x:mergeCell ref="A2:E2"/>
  </x:mergeCells>
  <x:conditionalFormatting sqref="D5:D26">
    <x:cfRule type="expression" dxfId="9" priority="1">
      <x:formula>D5="Easy"</x:formula>
    </x:cfRule>
    <x:cfRule type="expression" dxfId="10" priority="2">
      <x:formula>D5="Medium"</x:formula>
    </x:cfRule>
    <x:cfRule type="expression" dxfId="11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10fafa2774445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INT Dec24 C Math M1 — Pattern Analysis</x:v>
      </x:c>
      <x:c r="B1" s="5"/>
      <x:c r="C1" s="5"/>
      <x:c r="D1" s="5"/>
      <x:c r="E1" s="5"/>
    </x:row>
    <x:row r="2">
      <x:c r="A2" s="12" t="str">
        <x:v>Target difficulty: ≈40%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Algebra</x:v>
      </x:c>
      <x:c r="C5" s="26" t="str">
        <x:v>Systems of Two Linear Equations</x:v>
      </x:c>
      <x:c r="D5" s="26" t="str">
        <x:v>Hard</x:v>
      </x:c>
      <x:c r="E5" s="26" t="str">
        <x:v>Solve or analyze a system of two linear equations</x:v>
      </x:c>
    </x:row>
    <x:row r="6">
      <x:c r="A6" s="26" t="n">
        <x:v>2</x:v>
      </x:c>
      <x:c r="B6" s="26" t="str">
        <x:v>Algebra</x:v>
      </x:c>
      <x:c r="C6" s="26" t="str">
        <x:v>Linear Functions</x:v>
      </x:c>
      <x:c r="D6" s="26" t="str">
        <x:v>Easy</x:v>
      </x:c>
      <x:c r="E6" s="26" t="str">
        <x:v>Determine, evaluate, or interpret slope, intercepts, or a linear function</x:v>
      </x:c>
    </x:row>
    <x:row r="7">
      <x:c r="A7" s="26" t="n">
        <x:v>3</x:v>
      </x:c>
      <x:c r="B7" s="26" t="str">
        <x:v>Algebra</x:v>
      </x:c>
      <x:c r="C7" s="26" t="str">
        <x:v>Linear Functions</x:v>
      </x:c>
      <x:c r="D7" s="26" t="str">
        <x:v>Easy</x:v>
      </x:c>
      <x:c r="E7" s="26" t="str">
        <x:v>Determine, evaluate, or interpret slope, intercepts, or a linear function</x:v>
      </x:c>
    </x:row>
    <x:row r="8">
      <x:c r="A8" s="26" t="n">
        <x:v>4</x:v>
      </x:c>
      <x:c r="B8" s="26" t="str">
        <x:v>Algebra</x:v>
      </x:c>
      <x:c r="C8" s="26" t="str">
        <x:v>Linear Functions</x:v>
      </x:c>
      <x:c r="D8" s="26" t="str">
        <x:v>Easy</x:v>
      </x:c>
      <x:c r="E8" s="26" t="str">
        <x:v>Determine, evaluate, or interpret slope, intercepts, or a linear function</x:v>
      </x:c>
    </x:row>
    <x:row r="9">
      <x:c r="A9" s="26" t="n">
        <x:v>5</x:v>
      </x:c>
      <x:c r="B9" s="26" t="str">
        <x:v>Advanced Math</x:v>
      </x:c>
      <x:c r="C9" s="26" t="str">
        <x:v>Nonlinear Functions</x:v>
      </x:c>
      <x:c r="D9" s="26" t="str">
        <x:v>Hard</x:v>
      </x:c>
      <x:c r="E9" s="26" t="str">
        <x:v>Evaluate, model, transform, or interpret a quadratic, exponential, or rational function</x:v>
      </x:c>
    </x:row>
    <x:row r="10">
      <x:c r="A10" s="26" t="n">
        <x:v>6</x:v>
      </x:c>
      <x:c r="B10" s="26" t="str">
        <x:v>Advanced Math</x:v>
      </x:c>
      <x:c r="C10" s="26" t="str">
        <x:v>Nonlinear Functions</x:v>
      </x:c>
      <x:c r="D10" s="26" t="str">
        <x:v>Hard</x:v>
      </x:c>
      <x:c r="E10" s="26" t="str">
        <x:v>Evaluate, model, transform, or interpret a quadratic, exponential, or rational function</x:v>
      </x:c>
    </x:row>
    <x:row r="11">
      <x:c r="A11" s="26" t="n">
        <x:v>7</x:v>
      </x:c>
      <x:c r="B11" s="26" t="str">
        <x:v>Problem-Solving &amp; Data Analysis</x:v>
      </x:c>
      <x:c r="C11" s="26" t="str">
        <x:v>One-Variable Data</x:v>
      </x:c>
      <x:c r="D11" s="26" t="str">
        <x:v>Easy</x:v>
      </x:c>
      <x:c r="E11" s="26" t="str">
        <x:v>Analyze a one-variable data set, distribution, mean, median, or range</x:v>
      </x:c>
    </x:row>
    <x:row r="12">
      <x:c r="A12" s="26" t="n">
        <x:v>8</x:v>
      </x:c>
      <x:c r="B12" s="26" t="str">
        <x:v>Advanced Math</x:v>
      </x:c>
      <x:c r="C12" s="26" t="str">
        <x:v>Nonlinear Functions</x:v>
      </x:c>
      <x:c r="D12" s="26" t="str">
        <x:v>Hard</x:v>
      </x:c>
      <x:c r="E12" s="26" t="str">
        <x:v>Evaluate, model, transform, or interpret a quadratic, exponential, or rational function</x:v>
      </x:c>
    </x:row>
    <x:row r="13">
      <x:c r="A13" s="26" t="n">
        <x:v>9</x:v>
      </x:c>
      <x:c r="B13" s="26" t="str">
        <x:v>Advanced Math</x:v>
      </x:c>
      <x:c r="C13" s="26" t="str">
        <x:v>Nonlinear Functions</x:v>
      </x:c>
      <x:c r="D13" s="26" t="str">
        <x:v>Hard</x:v>
      </x:c>
      <x:c r="E13" s="26" t="str">
        <x:v>Evaluate, model, transform, or interpret a quadratic, exponential, or rational function</x:v>
      </x:c>
    </x:row>
    <x:row r="14">
      <x:c r="A14" s="26" t="n">
        <x:v>10</x:v>
      </x:c>
      <x:c r="B14" s="26" t="str">
        <x:v>Problem-Solving &amp; Data Analysis</x:v>
      </x:c>
      <x:c r="C14" s="26" t="str">
        <x:v>Two-Variable Data &amp; Models</x:v>
      </x:c>
      <x:c r="D14" s="26" t="str">
        <x:v>Medium</x:v>
      </x:c>
      <x:c r="E14" s="26" t="str">
        <x:v>Interpret a scatterplot, line of best fit, or relationship between two variables</x:v>
      </x:c>
    </x:row>
    <x:row r="15">
      <x:c r="A15" s="26" t="n">
        <x:v>11</x:v>
      </x:c>
      <x:c r="B15" s="26" t="str">
        <x:v>Geometry &amp; Trigonometry</x:v>
      </x:c>
      <x:c r="C15" s="26" t="str">
        <x:v>Lines, Angles &amp; Triangles</x:v>
      </x:c>
      <x:c r="D15" s="26" t="str">
        <x:v>Medium</x:v>
      </x:c>
      <x:c r="E15" s="26" t="str">
        <x:v>Use angle, triangle, congruence, similarity, or line relationships</x:v>
      </x:c>
    </x:row>
    <x:row r="16">
      <x:c r="A16" s="26" t="n">
        <x:v>12</x:v>
      </x:c>
      <x:c r="B16" s="26" t="str">
        <x:v>Algebra</x:v>
      </x:c>
      <x:c r="C16" s="26" t="str">
        <x:v>Linear Functions</x:v>
      </x:c>
      <x:c r="D16" s="26" t="str">
        <x:v>Easy</x:v>
      </x:c>
      <x:c r="E16" s="26" t="str">
        <x:v>Determine, evaluate, or interpret slope, intercepts, or a linear function</x:v>
      </x:c>
    </x:row>
    <x:row r="17">
      <x:c r="A17" s="26" t="n">
        <x:v>13</x:v>
      </x:c>
      <x:c r="B17" s="26" t="str">
        <x:v>Advanced Math</x:v>
      </x:c>
      <x:c r="C17" s="26" t="str">
        <x:v>Nonlinear Equations</x:v>
      </x:c>
      <x:c r="D17" s="26" t="str">
        <x:v>Hard</x:v>
      </x:c>
      <x:c r="E17" s="26" t="str">
        <x:v>Solve or analyze a quadratic, absolute-value, or other nonlinear equation/system</x:v>
      </x:c>
    </x:row>
    <x:row r="18">
      <x:c r="A18" s="26" t="n">
        <x:v>14</x:v>
      </x:c>
      <x:c r="B18" s="26" t="str">
        <x:v>Geometry &amp; Trigonometry</x:v>
      </x:c>
      <x:c r="C18" s="26" t="str">
        <x:v>Area &amp; Volume</x:v>
      </x:c>
      <x:c r="D18" s="26" t="str">
        <x:v>Medium</x:v>
      </x:c>
      <x:c r="E18" s="26" t="str">
        <x:v>Apply area, surface-area, or volume relationships</x:v>
      </x:c>
    </x:row>
    <x:row r="19">
      <x:c r="A19" s="26" t="n">
        <x:v>15</x:v>
      </x:c>
      <x:c r="B19" s="26" t="str">
        <x:v>Problem-Solving &amp; Data Analysis</x:v>
      </x:c>
      <x:c r="C19" s="26" t="str">
        <x:v>Two-Variable Data &amp; Models</x:v>
      </x:c>
      <x:c r="D19" s="26" t="str">
        <x:v>Hard</x:v>
      </x:c>
      <x:c r="E19" s="26" t="str">
        <x:v>Interpret a scatterplot, line of best fit, or relationship between two variables</x:v>
      </x:c>
    </x:row>
    <x:row r="20">
      <x:c r="A20" s="26" t="n">
        <x:v>16</x:v>
      </x:c>
      <x:c r="B20" s="26" t="str">
        <x:v>Advanced Math</x:v>
      </x:c>
      <x:c r="C20" s="26" t="str">
        <x:v>Nonlinear Functions</x:v>
      </x:c>
      <x:c r="D20" s="26" t="str">
        <x:v>Hard</x:v>
      </x:c>
      <x:c r="E20" s="26" t="str">
        <x:v>Evaluate, model, transform, or interpret a quadratic, exponential, or rational function</x:v>
      </x:c>
    </x:row>
    <x:row r="21">
      <x:c r="A21" s="26" t="n">
        <x:v>17</x:v>
      </x:c>
      <x:c r="B21" s="26" t="str">
        <x:v>Algebra</x:v>
      </x:c>
      <x:c r="C21" s="26" t="str">
        <x:v>Systems of Two Linear Equations</x:v>
      </x:c>
      <x:c r="D21" s="26" t="str">
        <x:v>Hard</x:v>
      </x:c>
      <x:c r="E21" s="26" t="str">
        <x:v>Solve or analyze a system of two linear equations</x:v>
      </x:c>
    </x:row>
    <x:row r="22">
      <x:c r="A22" s="26" t="n">
        <x:v>18</x:v>
      </x:c>
      <x:c r="B22" s="26" t="str">
        <x:v>Algebra</x:v>
      </x:c>
      <x:c r="C22" s="26" t="str">
        <x:v>Linear Inequalities</x:v>
      </x:c>
      <x:c r="D22" s="26" t="str">
        <x:v>Medium</x:v>
      </x:c>
      <x:c r="E22" s="26" t="str">
        <x:v>Solve, graph, or interpret a linear inequality or system of inequalities</x:v>
      </x:c>
    </x:row>
    <x:row r="23">
      <x:c r="A23" s="26" t="n">
        <x:v>19</x:v>
      </x:c>
      <x:c r="B23" s="26" t="str">
        <x:v>Problem-Solving &amp; Data Analysis</x:v>
      </x:c>
      <x:c r="C23" s="26" t="str">
        <x:v>Percentages</x:v>
      </x:c>
      <x:c r="D23" s="26" t="str">
        <x:v>Medium</x:v>
      </x:c>
      <x:c r="E23" s="26" t="str">
        <x:v>Solve a percent, percent-change, or part-whole problem</x:v>
      </x:c>
    </x:row>
    <x:row r="24">
      <x:c r="A24" s="26" t="n">
        <x:v>20</x:v>
      </x:c>
      <x:c r="B24" s="26" t="str">
        <x:v>Algebra</x:v>
      </x:c>
      <x:c r="C24" s="26" t="str">
        <x:v>Linear Functions</x:v>
      </x:c>
      <x:c r="D24" s="26" t="str">
        <x:v>Easy</x:v>
      </x:c>
      <x:c r="E24" s="26" t="str">
        <x:v>Determine, evaluate, or interpret slope, intercepts, or a linear function</x:v>
      </x:c>
    </x:row>
    <x:row r="25">
      <x:c r="A25" s="26" t="n">
        <x:v>21</x:v>
      </x:c>
      <x:c r="B25" s="26" t="str">
        <x:v>Algebra</x:v>
      </x:c>
      <x:c r="C25" s="26" t="str">
        <x:v>Linear Equations in One Variable</x:v>
      </x:c>
      <x:c r="D25" s="26" t="str">
        <x:v>Easy</x:v>
      </x:c>
      <x:c r="E25" s="26" t="str">
        <x:v>Solve or interpret a linear equation in one variable</x:v>
      </x:c>
    </x:row>
    <x:row r="26">
      <x:c r="A26" s="26" t="n">
        <x:v>22</x:v>
      </x:c>
      <x:c r="B26" s="26" t="str">
        <x:v>Problem-Solving &amp; Data Analysis</x:v>
      </x:c>
      <x:c r="C26" s="26" t="str">
        <x:v>Percentages</x:v>
      </x:c>
      <x:c r="D26" s="26" t="str">
        <x:v>Medium</x:v>
      </x:c>
      <x:c r="E26" s="26" t="str">
        <x:v>Solve a percent, percent-change, or part-whole problem</x:v>
      </x:c>
    </x:row>
  </x:sheetData>
  <x:mergeCells>
    <x:mergeCell ref="A1:E1"/>
    <x:mergeCell ref="A2:E2"/>
  </x:mergeCells>
  <x:conditionalFormatting sqref="D5:D26">
    <x:cfRule type="expression" dxfId="12" priority="1">
      <x:formula>D5="Easy"</x:formula>
    </x:cfRule>
    <x:cfRule type="expression" dxfId="13" priority="2">
      <x:formula>D5="Medium"</x:formula>
    </x:cfRule>
    <x:cfRule type="expression" dxfId="14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e91043c9cd4e8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INT Dec24 C Math M2 — Pattern Analysis</x:v>
      </x:c>
      <x:c r="B1" s="5"/>
      <x:c r="C1" s="5"/>
      <x:c r="D1" s="5"/>
      <x:c r="E1" s="5"/>
    </x:row>
    <x:row r="2">
      <x:c r="A2" s="12" t="str">
        <x:v>Target difficulty: ≈60%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Problem-Solving &amp; Data Analysis</x:v>
      </x:c>
      <x:c r="C5" s="26" t="str">
        <x:v>Percentages</x:v>
      </x:c>
      <x:c r="D5" s="26" t="str">
        <x:v>Easy</x:v>
      </x:c>
      <x:c r="E5" s="26" t="str">
        <x:v>Solve a percent, percent-change, or part-whole problem</x:v>
      </x:c>
    </x:row>
    <x:row r="6">
      <x:c r="A6" s="26" t="n">
        <x:v>2</x:v>
      </x:c>
      <x:c r="B6" s="26" t="str">
        <x:v>Advanced Math</x:v>
      </x:c>
      <x:c r="C6" s="26" t="str">
        <x:v>Nonlinear Equations</x:v>
      </x:c>
      <x:c r="D6" s="26" t="str">
        <x:v>Hard</x:v>
      </x:c>
      <x:c r="E6" s="26" t="str">
        <x:v>Solve or analyze a quadratic, absolute-value, or other nonlinear equation/system</x:v>
      </x:c>
    </x:row>
    <x:row r="7">
      <x:c r="A7" s="26" t="n">
        <x:v>3</x:v>
      </x:c>
      <x:c r="B7" s="26" t="str">
        <x:v>Problem-Solving &amp; Data Analysis</x:v>
      </x:c>
      <x:c r="C7" s="26" t="str">
        <x:v>Ratios, Rates, Proportions &amp; Units</x:v>
      </x:c>
      <x:c r="D7" s="26" t="str">
        <x:v>Easy</x:v>
      </x:c>
      <x:c r="E7" s="26" t="str">
        <x:v>Use ratios, rates, proportions, density, or unit conversions</x:v>
      </x:c>
    </x:row>
    <x:row r="8">
      <x:c r="A8" s="26" t="n">
        <x:v>4</x:v>
      </x:c>
      <x:c r="B8" s="26" t="str">
        <x:v>Advanced Math</x:v>
      </x:c>
      <x:c r="C8" s="26" t="str">
        <x:v>Equivalent Expressions</x:v>
      </x:c>
      <x:c r="D8" s="26" t="str">
        <x:v>Medium</x:v>
      </x:c>
      <x:c r="E8" s="26" t="str">
        <x:v>Rewrite, factor, expand, or compare equivalent expressions</x:v>
      </x:c>
    </x:row>
    <x:row r="9">
      <x:c r="A9" s="26" t="n">
        <x:v>5</x:v>
      </x:c>
      <x:c r="B9" s="26" t="str">
        <x:v>Geometry &amp; Trigonometry</x:v>
      </x:c>
      <x:c r="C9" s="26" t="str">
        <x:v>Circles</x:v>
      </x:c>
      <x:c r="D9" s="26" t="str">
        <x:v>Hard</x:v>
      </x:c>
      <x:c r="E9" s="26" t="str">
        <x:v>Use circle equations, radius/diameter, chords, or circumference/area</x:v>
      </x:c>
    </x:row>
    <x:row r="10">
      <x:c r="A10" s="26" t="n">
        <x:v>6</x:v>
      </x:c>
      <x:c r="B10" s="26" t="str">
        <x:v>Advanced Math</x:v>
      </x:c>
      <x:c r="C10" s="26" t="str">
        <x:v>Equivalent Expressions</x:v>
      </x:c>
      <x:c r="D10" s="26" t="str">
        <x:v>Hard</x:v>
      </x:c>
      <x:c r="E10" s="26" t="str">
        <x:v>Rewrite, factor, expand, or compare equivalent expressions</x:v>
      </x:c>
    </x:row>
    <x:row r="11">
      <x:c r="A11" s="26" t="n">
        <x:v>7</x:v>
      </x:c>
      <x:c r="B11" s="26" t="str">
        <x:v>Advanced Math</x:v>
      </x:c>
      <x:c r="C11" s="26" t="str">
        <x:v>Nonlinear Functions</x:v>
      </x:c>
      <x:c r="D11" s="26" t="str">
        <x:v>Hard</x:v>
      </x:c>
      <x:c r="E11" s="26" t="str">
        <x:v>Evaluate, model, transform, or interpret a quadratic, exponential, or rational function</x:v>
      </x:c>
    </x:row>
    <x:row r="12">
      <x:c r="A12" s="26" t="n">
        <x:v>8</x:v>
      </x:c>
      <x:c r="B12" s="26" t="str">
        <x:v>Algebra</x:v>
      </x:c>
      <x:c r="C12" s="26" t="str">
        <x:v>Linear Equations in One Variable</x:v>
      </x:c>
      <x:c r="D12" s="26" t="str">
        <x:v>Easy</x:v>
      </x:c>
      <x:c r="E12" s="26" t="str">
        <x:v>Solve or interpret a linear equation in one variable</x:v>
      </x:c>
    </x:row>
    <x:row r="13">
      <x:c r="A13" s="26" t="n">
        <x:v>9</x:v>
      </x:c>
      <x:c r="B13" s="26" t="str">
        <x:v>Algebra</x:v>
      </x:c>
      <x:c r="C13" s="26" t="str">
        <x:v>Linear Inequalities</x:v>
      </x:c>
      <x:c r="D13" s="26" t="str">
        <x:v>Medium</x:v>
      </x:c>
      <x:c r="E13" s="26" t="str">
        <x:v>Solve, graph, or interpret a linear inequality or system of inequalities</x:v>
      </x:c>
    </x:row>
    <x:row r="14">
      <x:c r="A14" s="26" t="n">
        <x:v>10</x:v>
      </x:c>
      <x:c r="B14" s="26" t="str">
        <x:v>Geometry &amp; Trigonometry</x:v>
      </x:c>
      <x:c r="C14" s="26" t="str">
        <x:v>Circles</x:v>
      </x:c>
      <x:c r="D14" s="26" t="str">
        <x:v>Hard</x:v>
      </x:c>
      <x:c r="E14" s="26" t="str">
        <x:v>Use circle equations, radius/diameter, chords, or circumference/area</x:v>
      </x:c>
    </x:row>
    <x:row r="15">
      <x:c r="A15" s="26" t="n">
        <x:v>11</x:v>
      </x:c>
      <x:c r="B15" s="26" t="str">
        <x:v>Geometry &amp; Trigonometry</x:v>
      </x:c>
      <x:c r="C15" s="26" t="str">
        <x:v>Lines, Angles &amp; Triangles</x:v>
      </x:c>
      <x:c r="D15" s="26" t="str">
        <x:v>Medium</x:v>
      </x:c>
      <x:c r="E15" s="26" t="str">
        <x:v>Use angle, triangle, congruence, similarity, or line relationships</x:v>
      </x:c>
    </x:row>
    <x:row r="16">
      <x:c r="A16" s="26" t="n">
        <x:v>12</x:v>
      </x:c>
      <x:c r="B16" s="26" t="str">
        <x:v>Geometry &amp; Trigonometry</x:v>
      </x:c>
      <x:c r="C16" s="26" t="str">
        <x:v>Right Triangles &amp; Trigonometry</x:v>
      </x:c>
      <x:c r="D16" s="26" t="str">
        <x:v>Hard</x:v>
      </x:c>
      <x:c r="E16" s="26" t="str">
        <x:v>Use right-triangle relationships or trigonometric ratios</x:v>
      </x:c>
    </x:row>
    <x:row r="17">
      <x:c r="A17" s="26" t="n">
        <x:v>13</x:v>
      </x:c>
      <x:c r="B17" s="26" t="str">
        <x:v>Advanced Math</x:v>
      </x:c>
      <x:c r="C17" s="26" t="str">
        <x:v>Nonlinear Equations</x:v>
      </x:c>
      <x:c r="D17" s="26" t="str">
        <x:v>Hard</x:v>
      </x:c>
      <x:c r="E17" s="26" t="str">
        <x:v>Solve or analyze a quadratic, absolute-value, or other nonlinear equation/system</x:v>
      </x:c>
    </x:row>
    <x:row r="18">
      <x:c r="A18" s="26" t="n">
        <x:v>14</x:v>
      </x:c>
      <x:c r="B18" s="26" t="str">
        <x:v>Problem-Solving &amp; Data Analysis</x:v>
      </x:c>
      <x:c r="C18" s="26" t="str">
        <x:v>Ratios, Rates, Proportions &amp; Units</x:v>
      </x:c>
      <x:c r="D18" s="26" t="str">
        <x:v>Medium</x:v>
      </x:c>
      <x:c r="E18" s="26" t="str">
        <x:v>Use ratios, rates, proportions, density, or unit conversions</x:v>
      </x:c>
    </x:row>
    <x:row r="19">
      <x:c r="A19" s="26" t="n">
        <x:v>15</x:v>
      </x:c>
      <x:c r="B19" s="26" t="str">
        <x:v>Problem-Solving &amp; Data Analysis</x:v>
      </x:c>
      <x:c r="C19" s="26" t="str">
        <x:v>Inference / Margin of Error</x:v>
      </x:c>
      <x:c r="D19" s="26" t="str">
        <x:v>Hard</x:v>
      </x:c>
      <x:c r="E19" s="26" t="str">
        <x:v>Reason about random samples, estimates, or margin of error</x:v>
      </x:c>
    </x:row>
    <x:row r="20">
      <x:c r="A20" s="26" t="n">
        <x:v>16</x:v>
      </x:c>
      <x:c r="B20" s="26" t="str">
        <x:v>Algebra</x:v>
      </x:c>
      <x:c r="C20" s="26" t="str">
        <x:v>Linear Equations in One Variable</x:v>
      </x:c>
      <x:c r="D20" s="26" t="str">
        <x:v>Easy</x:v>
      </x:c>
      <x:c r="E20" s="26" t="str">
        <x:v>Solve or interpret a linear equation in one variable</x:v>
      </x:c>
    </x:row>
    <x:row r="21">
      <x:c r="A21" s="26" t="n">
        <x:v>17</x:v>
      </x:c>
      <x:c r="B21" s="26" t="str">
        <x:v>Algebra</x:v>
      </x:c>
      <x:c r="C21" s="26" t="str">
        <x:v>Linear Equations in One Variable</x:v>
      </x:c>
      <x:c r="D21" s="26" t="str">
        <x:v>Easy</x:v>
      </x:c>
      <x:c r="E21" s="26" t="str">
        <x:v>Solve or interpret a linear equation in one variable</x:v>
      </x:c>
    </x:row>
    <x:row r="22">
      <x:c r="A22" s="26" t="n">
        <x:v>18</x:v>
      </x:c>
      <x:c r="B22" s="26" t="str">
        <x:v>Advanced Math</x:v>
      </x:c>
      <x:c r="C22" s="26" t="str">
        <x:v>Nonlinear Functions</x:v>
      </x:c>
      <x:c r="D22" s="26" t="str">
        <x:v>Hard</x:v>
      </x:c>
      <x:c r="E22" s="26" t="str">
        <x:v>Evaluate, model, transform, or interpret a quadratic, exponential, or rational function</x:v>
      </x:c>
    </x:row>
    <x:row r="23">
      <x:c r="A23" s="26" t="n">
        <x:v>19</x:v>
      </x:c>
      <x:c r="B23" s="26" t="str">
        <x:v>Advanced Math</x:v>
      </x:c>
      <x:c r="C23" s="26" t="str">
        <x:v>Nonlinear Functions</x:v>
      </x:c>
      <x:c r="D23" s="26" t="str">
        <x:v>Hard</x:v>
      </x:c>
      <x:c r="E23" s="26" t="str">
        <x:v>Evaluate, model, transform, or interpret a quadratic, exponential, or rational function</x:v>
      </x:c>
    </x:row>
    <x:row r="24">
      <x:c r="A24" s="26" t="n">
        <x:v>20</x:v>
      </x:c>
      <x:c r="B24" s="26" t="str">
        <x:v>Advanced Math</x:v>
      </x:c>
      <x:c r="C24" s="26" t="str">
        <x:v>Nonlinear Functions</x:v>
      </x:c>
      <x:c r="D24" s="26" t="str">
        <x:v>Hard</x:v>
      </x:c>
      <x:c r="E24" s="26" t="str">
        <x:v>Evaluate, model, transform, or interpret a quadratic, exponential, or rational function</x:v>
      </x:c>
    </x:row>
    <x:row r="25">
      <x:c r="A25" s="26" t="n">
        <x:v>21</x:v>
      </x:c>
      <x:c r="B25" s="26" t="str">
        <x:v>Algebra</x:v>
      </x:c>
      <x:c r="C25" s="26" t="str">
        <x:v>Systems of Two Linear Equations</x:v>
      </x:c>
      <x:c r="D25" s="26" t="str">
        <x:v>Hard</x:v>
      </x:c>
      <x:c r="E25" s="26" t="str">
        <x:v>Solve or analyze a system of two linear equations</x:v>
      </x:c>
    </x:row>
    <x:row r="26">
      <x:c r="A26" s="26" t="n">
        <x:v>22</x:v>
      </x:c>
      <x:c r="B26" s="26" t="str">
        <x:v>Advanced Math</x:v>
      </x:c>
      <x:c r="C26" s="26" t="str">
        <x:v>Nonlinear Equations</x:v>
      </x:c>
      <x:c r="D26" s="26" t="str">
        <x:v>Hard</x:v>
      </x:c>
      <x:c r="E26" s="26" t="str">
        <x:v>Solve or analyze a quadratic, absolute-value, or other nonlinear equation/system</x:v>
      </x:c>
    </x:row>
  </x:sheetData>
  <x:mergeCells>
    <x:mergeCell ref="A1:E1"/>
    <x:mergeCell ref="A2:E2"/>
  </x:mergeCells>
  <x:conditionalFormatting sqref="D5:D26">
    <x:cfRule type="expression" dxfId="15" priority="1">
      <x:formula>D5="Easy"</x:formula>
    </x:cfRule>
    <x:cfRule type="expression" dxfId="16" priority="2">
      <x:formula>D5="Medium"</x:formula>
    </x:cfRule>
    <x:cfRule type="expression" dxfId="17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55d5501b904ae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US Jun24 A EBRW M1 — Pattern Analysis</x:v>
      </x:c>
      <x:c r="B1" s="5"/>
      <x:c r="C1" s="5"/>
      <x:c r="D1" s="5"/>
      <x:c r="E1" s="5"/>
    </x:row>
    <x:row r="2">
      <x:c r="A2" s="12" t="str">
        <x:v>Target difficulty: ≈30% Hard. Domain, Skill/Subtopic, and Pattern are preserved from the source-based classification. Missing source question(s): Q21.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Craft &amp; Structure</x:v>
      </x:c>
      <x:c r="C5" s="26" t="str">
        <x:v>Text Structure &amp; Purpose</x:v>
      </x:c>
      <x:c r="D5" s="26" t="str">
        <x:v>Medium</x:v>
      </x:c>
      <x:c r="E5" s="26" t="str">
        <x:v>Analyze the function, purpose, or organization of the text</x:v>
      </x:c>
    </x:row>
    <x:row r="6">
      <x:c r="A6" s="26" t="n">
        <x:v>2</x:v>
      </x:c>
      <x:c r="B6" s="26" t="str">
        <x:v>Craft &amp; Structure</x:v>
      </x:c>
      <x:c r="C6" s="26" t="str">
        <x:v>Words in Context</x:v>
      </x:c>
      <x:c r="D6" s="26" t="str">
        <x:v>Easy</x:v>
      </x:c>
      <x:c r="E6" s="26" t="str">
        <x:v>Determine contextual meaning or choose the most precise word/phrase</x:v>
      </x:c>
    </x:row>
    <x:row r="7">
      <x:c r="A7" s="26" t="n">
        <x:v>3</x:v>
      </x:c>
      <x:c r="B7" s="26" t="str">
        <x:v>Craft &amp; Structure</x:v>
      </x:c>
      <x:c r="C7" s="26" t="str">
        <x:v>Words in Context</x:v>
      </x:c>
      <x:c r="D7" s="26" t="str">
        <x:v>Easy</x:v>
      </x:c>
      <x:c r="E7" s="26" t="str">
        <x:v>Determine contextual meaning or choose the most precise word/phrase</x:v>
      </x:c>
    </x:row>
    <x:row r="8">
      <x:c r="A8" s="26" t="n">
        <x:v>4</x:v>
      </x:c>
      <x:c r="B8" s="26" t="str">
        <x:v>Craft &amp; Structure</x:v>
      </x:c>
      <x:c r="C8" s="26" t="str">
        <x:v>Words in Context</x:v>
      </x:c>
      <x:c r="D8" s="26" t="str">
        <x:v>Easy</x:v>
      </x:c>
      <x:c r="E8" s="26" t="str">
        <x:v>Determine contextual meaning or choose the most precise word/phrase</x:v>
      </x:c>
    </x:row>
    <x:row r="9">
      <x:c r="A9" s="26" t="n">
        <x:v>5</x:v>
      </x:c>
      <x:c r="B9" s="26" t="str">
        <x:v>Craft &amp; Structure</x:v>
      </x:c>
      <x:c r="C9" s="26" t="str">
        <x:v>Words in Context</x:v>
      </x:c>
      <x:c r="D9" s="26" t="str">
        <x:v>Easy</x:v>
      </x:c>
      <x:c r="E9" s="26" t="str">
        <x:v>Determine contextual meaning or choose the most precise word/phrase</x:v>
      </x:c>
    </x:row>
    <x:row r="10">
      <x:c r="A10" s="26" t="n">
        <x:v>6</x:v>
      </x:c>
      <x:c r="B10" s="26" t="str">
        <x:v>Craft &amp; Structure</x:v>
      </x:c>
      <x:c r="C10" s="26" t="str">
        <x:v>Text Structure &amp; Purpose</x:v>
      </x:c>
      <x:c r="D10" s="26" t="str">
        <x:v>Medium</x:v>
      </x:c>
      <x:c r="E10" s="26" t="str">
        <x:v>Analyze the function, purpose, or organization of the text</x:v>
      </x:c>
    </x:row>
    <x:row r="11">
      <x:c r="A11" s="26" t="n">
        <x:v>7</x:v>
      </x:c>
      <x:c r="B11" s="26" t="str">
        <x:v>Craft &amp; Structure</x:v>
      </x:c>
      <x:c r="C11" s="26" t="str">
        <x:v>Text Structure &amp; Purpose</x:v>
      </x:c>
      <x:c r="D11" s="26" t="str">
        <x:v>Medium</x:v>
      </x:c>
      <x:c r="E11" s="26" t="str">
        <x:v>Analyze the function, purpose, or organization of the text</x:v>
      </x:c>
    </x:row>
    <x:row r="12">
      <x:c r="A12" s="26" t="n">
        <x:v>8</x:v>
      </x:c>
      <x:c r="B12" s="26" t="str">
        <x:v>Craft &amp; Structure</x:v>
      </x:c>
      <x:c r="C12" s="26" t="str">
        <x:v>Text Structure &amp; Purpose</x:v>
      </x:c>
      <x:c r="D12" s="26" t="str">
        <x:v>Hard</x:v>
      </x:c>
      <x:c r="E12" s="26" t="str">
        <x:v>Analyze the function, purpose, or organization of the text</x:v>
      </x:c>
    </x:row>
    <x:row r="13">
      <x:c r="A13" s="26" t="n">
        <x:v>9</x:v>
      </x:c>
      <x:c r="B13" s="26" t="str">
        <x:v>Information &amp; Ideas</x:v>
      </x:c>
      <x:c r="C13" s="26" t="str">
        <x:v>Inferences</x:v>
      </x:c>
      <x:c r="D13" s="26" t="str">
        <x:v>Hard</x:v>
      </x:c>
      <x:c r="E13" s="26" t="str">
        <x:v>Draw the conclusion or inference best supported by the text</x:v>
      </x:c>
    </x:row>
    <x:row r="14">
      <x:c r="A14" s="26" t="n">
        <x:v>10</x:v>
      </x:c>
      <x:c r="B14" s="26" t="str">
        <x:v>Information &amp; Ideas</x:v>
      </x:c>
      <x:c r="C14" s="26" t="str">
        <x:v>Inferences</x:v>
      </x:c>
      <x:c r="D14" s="26" t="str">
        <x:v>Hard</x:v>
      </x:c>
      <x:c r="E14" s="26" t="str">
        <x:v>Draw the conclusion or inference best supported by the text</x:v>
      </x:c>
    </x:row>
    <x:row r="15">
      <x:c r="A15" s="26" t="n">
        <x:v>11</x:v>
      </x:c>
      <x:c r="B15" s="26" t="str">
        <x:v>Information &amp; Ideas</x:v>
      </x:c>
      <x:c r="C15" s="26" t="str">
        <x:v>Inferences</x:v>
      </x:c>
      <x:c r="D15" s="26" t="str">
        <x:v>Hard</x:v>
      </x:c>
      <x:c r="E15" s="26" t="str">
        <x:v>Draw the conclusion or inference best supported by the text</x:v>
      </x:c>
    </x:row>
    <x:row r="16">
      <x:c r="A16" s="26" t="n">
        <x:v>12</x:v>
      </x:c>
      <x:c r="B16" s="26" t="str">
        <x:v>Information &amp; Ideas</x:v>
      </x:c>
      <x:c r="C16" s="26" t="str">
        <x:v>Inferences</x:v>
      </x:c>
      <x:c r="D16" s="26" t="str">
        <x:v>Hard</x:v>
      </x:c>
      <x:c r="E16" s="26" t="str">
        <x:v>Draw the conclusion or inference best supported by the text</x:v>
      </x:c>
    </x:row>
    <x:row r="17">
      <x:c r="A17" s="26" t="n">
        <x:v>13</x:v>
      </x:c>
      <x:c r="B17" s="26" t="str">
        <x:v>Information &amp; Ideas</x:v>
      </x:c>
      <x:c r="C17" s="26" t="str">
        <x:v>Inferences</x:v>
      </x:c>
      <x:c r="D17" s="26" t="str">
        <x:v>Hard</x:v>
      </x:c>
      <x:c r="E17" s="26" t="str">
        <x:v>Draw the conclusion or inference best supported by the text</x:v>
      </x:c>
    </x:row>
    <x:row r="18">
      <x:c r="A18" s="26" t="n">
        <x:v>14</x:v>
      </x:c>
      <x:c r="B18" s="26" t="str">
        <x:v>Information &amp; Ideas</x:v>
      </x:c>
      <x:c r="C18" s="26" t="str">
        <x:v>Inferences</x:v>
      </x:c>
      <x:c r="D18" s="26" t="str">
        <x:v>Hard</x:v>
      </x:c>
      <x:c r="E18" s="26" t="str">
        <x:v>Draw the conclusion or inference best supported by the text</x:v>
      </x:c>
    </x:row>
    <x:row r="19">
      <x:c r="A19" s="26" t="n">
        <x:v>15</x:v>
      </x:c>
      <x:c r="B19" s="26" t="str">
        <x:v>Information &amp; Ideas</x:v>
      </x:c>
      <x:c r="C19" s="26" t="str">
        <x:v>Command of Evidence — Quantitative</x:v>
      </x:c>
      <x:c r="D19" s="26" t="str">
        <x:v>Hard</x:v>
      </x:c>
      <x:c r="E19" s="26" t="str">
        <x:v>Use quantitative data from a table or graph to support or complete a claim</x:v>
      </x:c>
    </x:row>
    <x:row r="20">
      <x:c r="A20" s="26" t="n">
        <x:v>16</x:v>
      </x:c>
      <x:c r="B20" s="26" t="str">
        <x:v>Standard English Conventions</x:v>
      </x:c>
      <x:c r="C20" s="26" t="str">
        <x:v>Form, Structure &amp; Sense</x:v>
      </x:c>
      <x:c r="D20" s="26" t="str">
        <x:v>Medium</x:v>
      </x:c>
      <x:c r="E20" s="26" t="str">
        <x:v>Apply grammar, agreement, verb-form, pronoun, or modifier conventions</x:v>
      </x:c>
    </x:row>
    <x:row r="21">
      <x:c r="A21" s="26" t="n">
        <x:v>17</x:v>
      </x:c>
      <x:c r="B21" s="26" t="str">
        <x:v>Standard English Conventions</x:v>
      </x:c>
      <x:c r="C21" s="26" t="str">
        <x:v>Form, Structure &amp; Sense</x:v>
      </x:c>
      <x:c r="D21" s="26" t="str">
        <x:v>Medium</x:v>
      </x:c>
      <x:c r="E21" s="26" t="str">
        <x:v>Apply grammar, agreement, verb-form, pronoun, or modifier conventions</x:v>
      </x:c>
    </x:row>
    <x:row r="22">
      <x:c r="A22" s="26" t="n">
        <x:v>18</x:v>
      </x:c>
      <x:c r="B22" s="26" t="str">
        <x:v>Standard English Conventions</x:v>
      </x:c>
      <x:c r="C22" s="26" t="str">
        <x:v>Form, Structure &amp; Sense</x:v>
      </x:c>
      <x:c r="D22" s="26" t="str">
        <x:v>Medium</x:v>
      </x:c>
      <x:c r="E22" s="26" t="str">
        <x:v>Apply grammar, agreement, verb-form, pronoun, or modifier conventions</x:v>
      </x:c>
    </x:row>
    <x:row r="23">
      <x:c r="A23" s="26" t="n">
        <x:v>19</x:v>
      </x:c>
      <x:c r="B23" s="26" t="str">
        <x:v>Standard English Conventions</x:v>
      </x:c>
      <x:c r="C23" s="26" t="str">
        <x:v>Form, Structure &amp; Sense</x:v>
      </x:c>
      <x:c r="D23" s="26" t="str">
        <x:v>Medium</x:v>
      </x:c>
      <x:c r="E23" s="26" t="str">
        <x:v>Apply grammar, agreement, verb-form, pronoun, or modifier conventions</x:v>
      </x:c>
    </x:row>
    <x:row r="24">
      <x:c r="A24" s="26" t="n">
        <x:v>20</x:v>
      </x:c>
      <x:c r="B24" s="26" t="str">
        <x:v>Standard English Conventions</x:v>
      </x:c>
      <x:c r="C24" s="26" t="str">
        <x:v>Form, Structure &amp; Sense</x:v>
      </x:c>
      <x:c r="D24" s="26" t="str">
        <x:v>Medium</x:v>
      </x:c>
      <x:c r="E24" s="26" t="str">
        <x:v>Apply grammar, agreement, verb-form, pronoun, or modifier conventions</x:v>
      </x:c>
    </x:row>
    <x:row r="25">
      <x:c r="A25" s="26" t="n">
        <x:v>21</x:v>
      </x:c>
      <x:c r="B25" s="26" t="str">
        <x:v>—</x:v>
      </x:c>
      <x:c r="C25" s="26" t="str">
        <x:v>Not present in source</x:v>
      </x:c>
      <x:c r="D25" s="26" t="str">
        <x:v>—</x:v>
      </x:c>
      <x:c r="E25" s="26" t="str">
        <x:v>Missing from PDF</x:v>
      </x:c>
    </x:row>
    <x:row r="26">
      <x:c r="A26" s="26" t="n">
        <x:v>22</x:v>
      </x:c>
      <x:c r="B26" s="26" t="str">
        <x:v>Expression of Ideas</x:v>
      </x:c>
      <x:c r="C26" s="26" t="str">
        <x:v>Transitions</x:v>
      </x:c>
      <x:c r="D26" s="26" t="str">
        <x:v>Easy</x:v>
      </x:c>
      <x:c r="E26" s="26" t="str">
        <x:v>Choose the transition that best expresses the logical relationship</x:v>
      </x:c>
    </x:row>
    <x:row r="27">
      <x:c r="A27" s="26" t="n">
        <x:v>23</x:v>
      </x:c>
      <x:c r="B27" s="26" t="str">
        <x:v>Expression of Ideas</x:v>
      </x:c>
      <x:c r="C27" s="26" t="str">
        <x:v>Transitions</x:v>
      </x:c>
      <x:c r="D27" s="26" t="str">
        <x:v>Easy</x:v>
      </x:c>
      <x:c r="E27" s="26" t="str">
        <x:v>Choose the transition that best expresses the logical relationship</x:v>
      </x:c>
    </x:row>
    <x:row r="28">
      <x:c r="A28" s="26" t="n">
        <x:v>24</x:v>
      </x:c>
      <x:c r="B28" s="26" t="str">
        <x:v>Expression of Ideas</x:v>
      </x:c>
      <x:c r="C28" s="26" t="str">
        <x:v>Rhetorical Synthesis</x:v>
      </x:c>
      <x:c r="D28" s="26" t="str">
        <x:v>Easy</x:v>
      </x:c>
      <x:c r="E28" s="26" t="str">
        <x:v>Use notes to satisfy a specified rhetorical goal</x:v>
      </x:c>
    </x:row>
    <x:row r="29">
      <x:c r="A29" s="26" t="n">
        <x:v>25</x:v>
      </x:c>
      <x:c r="B29" s="26" t="str">
        <x:v>Expression of Ideas</x:v>
      </x:c>
      <x:c r="C29" s="26" t="str">
        <x:v>Rhetorical Synthesis</x:v>
      </x:c>
      <x:c r="D29" s="26" t="str">
        <x:v>Easy</x:v>
      </x:c>
      <x:c r="E29" s="26" t="str">
        <x:v>Use notes to satisfy a specified rhetorical goal</x:v>
      </x:c>
    </x:row>
    <x:row r="30">
      <x:c r="A30" s="26" t="n">
        <x:v>26</x:v>
      </x:c>
      <x:c r="B30" s="26" t="str">
        <x:v>Expression of Ideas</x:v>
      </x:c>
      <x:c r="C30" s="26" t="str">
        <x:v>Rhetorical Synthesis</x:v>
      </x:c>
      <x:c r="D30" s="26" t="str">
        <x:v>Easy</x:v>
      </x:c>
      <x:c r="E30" s="26" t="str">
        <x:v>Use notes to satisfy a specified rhetorical goal</x:v>
      </x:c>
    </x:row>
    <x:row r="31">
      <x:c r="A31" s="26" t="n">
        <x:v>27</x:v>
      </x:c>
      <x:c r="B31" s="26" t="str">
        <x:v>Expression of Ideas</x:v>
      </x:c>
      <x:c r="C31" s="26" t="str">
        <x:v>Rhetorical Synthesis</x:v>
      </x:c>
      <x:c r="D31" s="26" t="str">
        <x:v>Medium</x:v>
      </x:c>
      <x:c r="E31" s="26" t="str">
        <x:v>Use notes to satisfy a specified rhetorical goal</x:v>
      </x:c>
    </x:row>
  </x:sheetData>
  <x:mergeCells>
    <x:mergeCell ref="A1:E1"/>
    <x:mergeCell ref="A2:E2"/>
  </x:mergeCells>
  <x:conditionalFormatting sqref="D5:D31">
    <x:cfRule type="expression" dxfId="18" priority="1">
      <x:formula>D5="Easy"</x:formula>
    </x:cfRule>
    <x:cfRule type="expression" dxfId="19" priority="2">
      <x:formula>D5="Medium"</x:formula>
    </x:cfRule>
    <x:cfRule type="expression" dxfId="20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cdb8781bb9454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US Jun24 A EBRW M2 — Pattern Analysis</x:v>
      </x:c>
      <x:c r="B1" s="5"/>
      <x:c r="C1" s="5"/>
      <x:c r="D1" s="5"/>
      <x:c r="E1" s="5"/>
    </x:row>
    <x:row r="2">
      <x:c r="A2" s="12" t="str">
        <x:v>Target difficulty: ≈40%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Craft &amp; Structure</x:v>
      </x:c>
      <x:c r="C5" s="26" t="str">
        <x:v>Words in Context</x:v>
      </x:c>
      <x:c r="D5" s="26" t="str">
        <x:v>Easy</x:v>
      </x:c>
      <x:c r="E5" s="26" t="str">
        <x:v>Determine contextual meaning or choose the most precise word/phrase</x:v>
      </x:c>
    </x:row>
    <x:row r="6">
      <x:c r="A6" s="26" t="n">
        <x:v>2</x:v>
      </x:c>
      <x:c r="B6" s="26" t="str">
        <x:v>Craft &amp; Structure</x:v>
      </x:c>
      <x:c r="C6" s="26" t="str">
        <x:v>Words in Context</x:v>
      </x:c>
      <x:c r="D6" s="26" t="str">
        <x:v>Easy</x:v>
      </x:c>
      <x:c r="E6" s="26" t="str">
        <x:v>Determine contextual meaning or choose the most precise word/phrase</x:v>
      </x:c>
    </x:row>
    <x:row r="7">
      <x:c r="A7" s="26" t="n">
        <x:v>3</x:v>
      </x:c>
      <x:c r="B7" s="26" t="str">
        <x:v>Craft &amp; Structure</x:v>
      </x:c>
      <x:c r="C7" s="26" t="str">
        <x:v>Words in Context</x:v>
      </x:c>
      <x:c r="D7" s="26" t="str">
        <x:v>Easy</x:v>
      </x:c>
      <x:c r="E7" s="26" t="str">
        <x:v>Determine contextual meaning or choose the most precise word/phrase</x:v>
      </x:c>
    </x:row>
    <x:row r="8">
      <x:c r="A8" s="26" t="n">
        <x:v>4</x:v>
      </x:c>
      <x:c r="B8" s="26" t="str">
        <x:v>Craft &amp; Structure</x:v>
      </x:c>
      <x:c r="C8" s="26" t="str">
        <x:v>Words in Context</x:v>
      </x:c>
      <x:c r="D8" s="26" t="str">
        <x:v>Easy</x:v>
      </x:c>
      <x:c r="E8" s="26" t="str">
        <x:v>Determine contextual meaning or choose the most precise word/phrase</x:v>
      </x:c>
    </x:row>
    <x:row r="9">
      <x:c r="A9" s="26" t="n">
        <x:v>5</x:v>
      </x:c>
      <x:c r="B9" s="26" t="str">
        <x:v>Craft &amp; Structure</x:v>
      </x:c>
      <x:c r="C9" s="26" t="str">
        <x:v>Text Structure &amp; Purpose</x:v>
      </x:c>
      <x:c r="D9" s="26" t="str">
        <x:v>Hard</x:v>
      </x:c>
      <x:c r="E9" s="26" t="str">
        <x:v>Analyze the function, purpose, or organization of the text</x:v>
      </x:c>
    </x:row>
    <x:row r="10">
      <x:c r="A10" s="26" t="n">
        <x:v>6</x:v>
      </x:c>
      <x:c r="B10" s="26" t="str">
        <x:v>Craft &amp; Structure</x:v>
      </x:c>
      <x:c r="C10" s="26" t="str">
        <x:v>Text Structure &amp; Purpose</x:v>
      </x:c>
      <x:c r="D10" s="26" t="str">
        <x:v>Hard</x:v>
      </x:c>
      <x:c r="E10" s="26" t="str">
        <x:v>Analyze the function, purpose, or organization of the text</x:v>
      </x:c>
    </x:row>
    <x:row r="11">
      <x:c r="A11" s="26" t="n">
        <x:v>7</x:v>
      </x:c>
      <x:c r="B11" s="26" t="str">
        <x:v>Craft &amp; Structure</x:v>
      </x:c>
      <x:c r="C11" s="26" t="str">
        <x:v>Text Structure &amp; Purpose</x:v>
      </x:c>
      <x:c r="D11" s="26" t="str">
        <x:v>Hard</x:v>
      </x:c>
      <x:c r="E11" s="26" t="str">
        <x:v>Analyze the function, purpose, or organization of the text</x:v>
      </x:c>
    </x:row>
    <x:row r="12">
      <x:c r="A12" s="26" t="n">
        <x:v>8</x:v>
      </x:c>
      <x:c r="B12" s="26" t="str">
        <x:v>Craft &amp; Structure</x:v>
      </x:c>
      <x:c r="C12" s="26" t="str">
        <x:v>Text Structure &amp; Purpose</x:v>
      </x:c>
      <x:c r="D12" s="26" t="str">
        <x:v>Hard</x:v>
      </x:c>
      <x:c r="E12" s="26" t="str">
        <x:v>Analyze the function, purpose, or organization of the text</x:v>
      </x:c>
    </x:row>
    <x:row r="13">
      <x:c r="A13" s="26" t="n">
        <x:v>9</x:v>
      </x:c>
      <x:c r="B13" s="26" t="str">
        <x:v>Information &amp; Ideas</x:v>
      </x:c>
      <x:c r="C13" s="26" t="str">
        <x:v>Inferences</x:v>
      </x:c>
      <x:c r="D13" s="26" t="str">
        <x:v>Hard</x:v>
      </x:c>
      <x:c r="E13" s="26" t="str">
        <x:v>Draw the conclusion or inference best supported by the text</x:v>
      </x:c>
    </x:row>
    <x:row r="14">
      <x:c r="A14" s="26" t="n">
        <x:v>10</x:v>
      </x:c>
      <x:c r="B14" s="26" t="str">
        <x:v>Information &amp; Ideas</x:v>
      </x:c>
      <x:c r="C14" s="26" t="str">
        <x:v>Inferences</x:v>
      </x:c>
      <x:c r="D14" s="26" t="str">
        <x:v>Hard</x:v>
      </x:c>
      <x:c r="E14" s="26" t="str">
        <x:v>Draw the conclusion or inference best supported by the text</x:v>
      </x:c>
    </x:row>
    <x:row r="15">
      <x:c r="A15" s="26" t="n">
        <x:v>11</x:v>
      </x:c>
      <x:c r="B15" s="26" t="str">
        <x:v>Information &amp; Ideas</x:v>
      </x:c>
      <x:c r="C15" s="26" t="str">
        <x:v>Inferences</x:v>
      </x:c>
      <x:c r="D15" s="26" t="str">
        <x:v>Hard</x:v>
      </x:c>
      <x:c r="E15" s="26" t="str">
        <x:v>Draw the conclusion or inference best supported by the text</x:v>
      </x:c>
    </x:row>
    <x:row r="16">
      <x:c r="A16" s="26" t="n">
        <x:v>12</x:v>
      </x:c>
      <x:c r="B16" s="26" t="str">
        <x:v>Information &amp; Ideas</x:v>
      </x:c>
      <x:c r="C16" s="26" t="str">
        <x:v>Inferences</x:v>
      </x:c>
      <x:c r="D16" s="26" t="str">
        <x:v>Hard</x:v>
      </x:c>
      <x:c r="E16" s="26" t="str">
        <x:v>Draw the conclusion or inference best supported by the text</x:v>
      </x:c>
    </x:row>
    <x:row r="17">
      <x:c r="A17" s="26" t="n">
        <x:v>13</x:v>
      </x:c>
      <x:c r="B17" s="26" t="str">
        <x:v>Information &amp; Ideas</x:v>
      </x:c>
      <x:c r="C17" s="26" t="str">
        <x:v>Inferences</x:v>
      </x:c>
      <x:c r="D17" s="26" t="str">
        <x:v>Hard</x:v>
      </x:c>
      <x:c r="E17" s="26" t="str">
        <x:v>Draw the conclusion or inference best supported by the text</x:v>
      </x:c>
    </x:row>
    <x:row r="18">
      <x:c r="A18" s="26" t="n">
        <x:v>14</x:v>
      </x:c>
      <x:c r="B18" s="26" t="str">
        <x:v>Information &amp; Ideas</x:v>
      </x:c>
      <x:c r="C18" s="26" t="str">
        <x:v>Inferences</x:v>
      </x:c>
      <x:c r="D18" s="26" t="str">
        <x:v>Hard</x:v>
      </x:c>
      <x:c r="E18" s="26" t="str">
        <x:v>Draw the conclusion or inference best supported by the text</x:v>
      </x:c>
    </x:row>
    <x:row r="19">
      <x:c r="A19" s="26" t="n">
        <x:v>15</x:v>
      </x:c>
      <x:c r="B19" s="26" t="str">
        <x:v>Information &amp; Ideas</x:v>
      </x:c>
      <x:c r="C19" s="26" t="str">
        <x:v>Inferences</x:v>
      </x:c>
      <x:c r="D19" s="26" t="str">
        <x:v>Hard</x:v>
      </x:c>
      <x:c r="E19" s="26" t="str">
        <x:v>Draw the conclusion or inference best supported by the text</x:v>
      </x:c>
    </x:row>
    <x:row r="20">
      <x:c r="A20" s="26" t="n">
        <x:v>16</x:v>
      </x:c>
      <x:c r="B20" s="26" t="str">
        <x:v>Standard English Conventions</x:v>
      </x:c>
      <x:c r="C20" s="26" t="str">
        <x:v>Form, Structure &amp; Sense</x:v>
      </x:c>
      <x:c r="D20" s="26" t="str">
        <x:v>Medium</x:v>
      </x:c>
      <x:c r="E20" s="26" t="str">
        <x:v>Apply grammar, agreement, verb-form, pronoun, or modifier conventions</x:v>
      </x:c>
    </x:row>
    <x:row r="21">
      <x:c r="A21" s="26" t="n">
        <x:v>17</x:v>
      </x:c>
      <x:c r="B21" s="26" t="str">
        <x:v>Standard English Conventions</x:v>
      </x:c>
      <x:c r="C21" s="26" t="str">
        <x:v>Form, Structure &amp; Sense</x:v>
      </x:c>
      <x:c r="D21" s="26" t="str">
        <x:v>Medium</x:v>
      </x:c>
      <x:c r="E21" s="26" t="str">
        <x:v>Apply grammar, agreement, verb-form, pronoun, or modifier conventions</x:v>
      </x:c>
    </x:row>
    <x:row r="22">
      <x:c r="A22" s="26" t="n">
        <x:v>18</x:v>
      </x:c>
      <x:c r="B22" s="26" t="str">
        <x:v>Standard English Conventions</x:v>
      </x:c>
      <x:c r="C22" s="26" t="str">
        <x:v>Form, Structure &amp; Sense</x:v>
      </x:c>
      <x:c r="D22" s="26" t="str">
        <x:v>Medium</x:v>
      </x:c>
      <x:c r="E22" s="26" t="str">
        <x:v>Apply grammar, agreement, verb-form, pronoun, or modifier conventions</x:v>
      </x:c>
    </x:row>
    <x:row r="23">
      <x:c r="A23" s="26" t="n">
        <x:v>19</x:v>
      </x:c>
      <x:c r="B23" s="26" t="str">
        <x:v>Standard English Conventions</x:v>
      </x:c>
      <x:c r="C23" s="26" t="str">
        <x:v>Form, Structure &amp; Sense</x:v>
      </x:c>
      <x:c r="D23" s="26" t="str">
        <x:v>Medium</x:v>
      </x:c>
      <x:c r="E23" s="26" t="str">
        <x:v>Apply grammar, agreement, verb-form, pronoun, or modifier conventions</x:v>
      </x:c>
    </x:row>
    <x:row r="24">
      <x:c r="A24" s="26" t="n">
        <x:v>20</x:v>
      </x:c>
      <x:c r="B24" s="26" t="str">
        <x:v>Standard English Conventions</x:v>
      </x:c>
      <x:c r="C24" s="26" t="str">
        <x:v>Form, Structure &amp; Sense</x:v>
      </x:c>
      <x:c r="D24" s="26" t="str">
        <x:v>Medium</x:v>
      </x:c>
      <x:c r="E24" s="26" t="str">
        <x:v>Apply grammar, agreement, verb-form, pronoun, or modifier conventions</x:v>
      </x:c>
    </x:row>
    <x:row r="25">
      <x:c r="A25" s="26" t="n">
        <x:v>21</x:v>
      </x:c>
      <x:c r="B25" s="26" t="str">
        <x:v>Expression of Ideas</x:v>
      </x:c>
      <x:c r="C25" s="26" t="str">
        <x:v>Transitions</x:v>
      </x:c>
      <x:c r="D25" s="26" t="str">
        <x:v>Easy</x:v>
      </x:c>
      <x:c r="E25" s="26" t="str">
        <x:v>Choose the transition that best expresses the logical relationship</x:v>
      </x:c>
    </x:row>
    <x:row r="26">
      <x:c r="A26" s="26" t="n">
        <x:v>22</x:v>
      </x:c>
      <x:c r="B26" s="26" t="str">
        <x:v>Expression of Ideas</x:v>
      </x:c>
      <x:c r="C26" s="26" t="str">
        <x:v>Transitions</x:v>
      </x:c>
      <x:c r="D26" s="26" t="str">
        <x:v>Easy</x:v>
      </x:c>
      <x:c r="E26" s="26" t="str">
        <x:v>Choose the transition that best expresses the logical relationship</x:v>
      </x:c>
    </x:row>
    <x:row r="27">
      <x:c r="A27" s="26" t="n">
        <x:v>23</x:v>
      </x:c>
      <x:c r="B27" s="26" t="str">
        <x:v>Expression of Ideas</x:v>
      </x:c>
      <x:c r="C27" s="26" t="str">
        <x:v>Transitions</x:v>
      </x:c>
      <x:c r="D27" s="26" t="str">
        <x:v>Easy</x:v>
      </x:c>
      <x:c r="E27" s="26" t="str">
        <x:v>Choose the transition that best expresses the logical relationship</x:v>
      </x:c>
    </x:row>
    <x:row r="28">
      <x:c r="A28" s="26" t="n">
        <x:v>24</x:v>
      </x:c>
      <x:c r="B28" s="26" t="str">
        <x:v>Expression of Ideas</x:v>
      </x:c>
      <x:c r="C28" s="26" t="str">
        <x:v>Rhetorical Synthesis</x:v>
      </x:c>
      <x:c r="D28" s="26" t="str">
        <x:v>Easy</x:v>
      </x:c>
      <x:c r="E28" s="26" t="str">
        <x:v>Use notes to satisfy a specified rhetorical goal</x:v>
      </x:c>
    </x:row>
    <x:row r="29">
      <x:c r="A29" s="26" t="n">
        <x:v>25</x:v>
      </x:c>
      <x:c r="B29" s="26" t="str">
        <x:v>Expression of Ideas</x:v>
      </x:c>
      <x:c r="C29" s="26" t="str">
        <x:v>Rhetorical Synthesis</x:v>
      </x:c>
      <x:c r="D29" s="26" t="str">
        <x:v>Medium</x:v>
      </x:c>
      <x:c r="E29" s="26" t="str">
        <x:v>Use notes to satisfy a specified rhetorical goal</x:v>
      </x:c>
    </x:row>
    <x:row r="30">
      <x:c r="A30" s="26" t="n">
        <x:v>26</x:v>
      </x:c>
      <x:c r="B30" s="26" t="str">
        <x:v>Expression of Ideas</x:v>
      </x:c>
      <x:c r="C30" s="26" t="str">
        <x:v>Rhetorical Synthesis</x:v>
      </x:c>
      <x:c r="D30" s="26" t="str">
        <x:v>Medium</x:v>
      </x:c>
      <x:c r="E30" s="26" t="str">
        <x:v>Use notes to satisfy a specified rhetorical goal</x:v>
      </x:c>
    </x:row>
    <x:row r="31">
      <x:c r="A31" s="26" t="n">
        <x:v>27</x:v>
      </x:c>
      <x:c r="B31" s="26" t="str">
        <x:v>Expression of Ideas</x:v>
      </x:c>
      <x:c r="C31" s="26" t="str">
        <x:v>Rhetorical Synthesis</x:v>
      </x:c>
      <x:c r="D31" s="26" t="str">
        <x:v>Medium</x:v>
      </x:c>
      <x:c r="E31" s="26" t="str">
        <x:v>Use notes to satisfy a specified rhetorical goal</x:v>
      </x:c>
    </x:row>
  </x:sheetData>
  <x:mergeCells>
    <x:mergeCell ref="A1:E1"/>
    <x:mergeCell ref="A2:E2"/>
  </x:mergeCells>
  <x:conditionalFormatting sqref="D5:D31">
    <x:cfRule type="expression" dxfId="21" priority="1">
      <x:formula>D5="Easy"</x:formula>
    </x:cfRule>
    <x:cfRule type="expression" dxfId="22" priority="2">
      <x:formula>D5="Medium"</x:formula>
    </x:cfRule>
    <x:cfRule type="expression" dxfId="23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69ad6f95ee426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US Jun24 A Math M1 — Pattern Analysis</x:v>
      </x:c>
      <x:c r="B1" s="5"/>
      <x:c r="C1" s="5"/>
      <x:c r="D1" s="5"/>
      <x:c r="E1" s="5"/>
    </x:row>
    <x:row r="2">
      <x:c r="A2" s="12" t="str">
        <x:v>Target difficulty: ≈40%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Advanced Math</x:v>
      </x:c>
      <x:c r="C5" s="26" t="str">
        <x:v>Equivalent Expressions</x:v>
      </x:c>
      <x:c r="D5" s="26" t="str">
        <x:v>Medium</x:v>
      </x:c>
      <x:c r="E5" s="26" t="str">
        <x:v>Rewrite, factor, expand, or compare equivalent expressions</x:v>
      </x:c>
    </x:row>
    <x:row r="6">
      <x:c r="A6" s="26" t="n">
        <x:v>2</x:v>
      </x:c>
      <x:c r="B6" s="26" t="str">
        <x:v>Advanced Math</x:v>
      </x:c>
      <x:c r="C6" s="26" t="str">
        <x:v>Equivalent Expressions</x:v>
      </x:c>
      <x:c r="D6" s="26" t="str">
        <x:v>Medium</x:v>
      </x:c>
      <x:c r="E6" s="26" t="str">
        <x:v>Rewrite, factor, expand, or compare equivalent expressions</x:v>
      </x:c>
    </x:row>
    <x:row r="7">
      <x:c r="A7" s="26" t="n">
        <x:v>3</x:v>
      </x:c>
      <x:c r="B7" s="26" t="str">
        <x:v>Algebra</x:v>
      </x:c>
      <x:c r="C7" s="26" t="str">
        <x:v>Systems of Two Linear Equations</x:v>
      </x:c>
      <x:c r="D7" s="26" t="str">
        <x:v>Medium</x:v>
      </x:c>
      <x:c r="E7" s="26" t="str">
        <x:v>Solve or analyze a system of two linear equations</x:v>
      </x:c>
    </x:row>
    <x:row r="8">
      <x:c r="A8" s="26" t="n">
        <x:v>4</x:v>
      </x:c>
      <x:c r="B8" s="26" t="str">
        <x:v>Algebra</x:v>
      </x:c>
      <x:c r="C8" s="26" t="str">
        <x:v>Linear Functions</x:v>
      </x:c>
      <x:c r="D8" s="26" t="str">
        <x:v>Easy</x:v>
      </x:c>
      <x:c r="E8" s="26" t="str">
        <x:v>Determine, evaluate, or interpret slope, intercepts, or a linear function</x:v>
      </x:c>
    </x:row>
    <x:row r="9">
      <x:c r="A9" s="26" t="n">
        <x:v>5</x:v>
      </x:c>
      <x:c r="B9" s="26" t="str">
        <x:v>Algebra</x:v>
      </x:c>
      <x:c r="C9" s="26" t="str">
        <x:v>Linear Functions</x:v>
      </x:c>
      <x:c r="D9" s="26" t="str">
        <x:v>Easy</x:v>
      </x:c>
      <x:c r="E9" s="26" t="str">
        <x:v>Determine, evaluate, or interpret slope, intercepts, or a linear function</x:v>
      </x:c>
    </x:row>
    <x:row r="10">
      <x:c r="A10" s="26" t="n">
        <x:v>6</x:v>
      </x:c>
      <x:c r="B10" s="26" t="str">
        <x:v>Advanced Math</x:v>
      </x:c>
      <x:c r="C10" s="26" t="str">
        <x:v>Nonlinear Functions</x:v>
      </x:c>
      <x:c r="D10" s="26" t="str">
        <x:v>Hard</x:v>
      </x:c>
      <x:c r="E10" s="26" t="str">
        <x:v>Evaluate, model, transform, or interpret a quadratic, exponential, or rational function</x:v>
      </x:c>
    </x:row>
    <x:row r="11">
      <x:c r="A11" s="26" t="n">
        <x:v>7</x:v>
      </x:c>
      <x:c r="B11" s="26" t="str">
        <x:v>Algebra</x:v>
      </x:c>
      <x:c r="C11" s="26" t="str">
        <x:v>Linear Functions</x:v>
      </x:c>
      <x:c r="D11" s="26" t="str">
        <x:v>Easy</x:v>
      </x:c>
      <x:c r="E11" s="26" t="str">
        <x:v>Determine, evaluate, or interpret slope, intercepts, or a linear function</x:v>
      </x:c>
    </x:row>
    <x:row r="12">
      <x:c r="A12" s="26" t="n">
        <x:v>8</x:v>
      </x:c>
      <x:c r="B12" s="26" t="str">
        <x:v>Algebra</x:v>
      </x:c>
      <x:c r="C12" s="26" t="str">
        <x:v>Linear Functions</x:v>
      </x:c>
      <x:c r="D12" s="26" t="str">
        <x:v>Easy</x:v>
      </x:c>
      <x:c r="E12" s="26" t="str">
        <x:v>Determine, evaluate, or interpret slope, intercepts, or a linear function</x:v>
      </x:c>
    </x:row>
    <x:row r="13">
      <x:c r="A13" s="26" t="n">
        <x:v>9</x:v>
      </x:c>
      <x:c r="B13" s="26" t="str">
        <x:v>Advanced Math</x:v>
      </x:c>
      <x:c r="C13" s="26" t="str">
        <x:v>Equivalent Expressions</x:v>
      </x:c>
      <x:c r="D13" s="26" t="str">
        <x:v>Hard</x:v>
      </x:c>
      <x:c r="E13" s="26" t="str">
        <x:v>Rewrite, factor, expand, or compare equivalent expressions</x:v>
      </x:c>
    </x:row>
    <x:row r="14">
      <x:c r="A14" s="26" t="n">
        <x:v>10</x:v>
      </x:c>
      <x:c r="B14" s="26" t="str">
        <x:v>Geometry &amp; Trigonometry</x:v>
      </x:c>
      <x:c r="C14" s="26" t="str">
        <x:v>Lines, Angles &amp; Triangles</x:v>
      </x:c>
      <x:c r="D14" s="26" t="str">
        <x:v>Easy</x:v>
      </x:c>
      <x:c r="E14" s="26" t="str">
        <x:v>Use angle, triangle, congruence, similarity, or line relationships</x:v>
      </x:c>
    </x:row>
    <x:row r="15">
      <x:c r="A15" s="26" t="n">
        <x:v>11</x:v>
      </x:c>
      <x:c r="B15" s="26" t="str">
        <x:v>Algebra</x:v>
      </x:c>
      <x:c r="C15" s="26" t="str">
        <x:v>Linear Equations in One Variable</x:v>
      </x:c>
      <x:c r="D15" s="26" t="str">
        <x:v>Easy</x:v>
      </x:c>
      <x:c r="E15" s="26" t="str">
        <x:v>Solve or interpret a linear equation in one variable</x:v>
      </x:c>
    </x:row>
    <x:row r="16">
      <x:c r="A16" s="26" t="n">
        <x:v>12</x:v>
      </x:c>
      <x:c r="B16" s="26" t="str">
        <x:v>Advanced Math</x:v>
      </x:c>
      <x:c r="C16" s="26" t="str">
        <x:v>Nonlinear Equations</x:v>
      </x:c>
      <x:c r="D16" s="26" t="str">
        <x:v>Hard</x:v>
      </x:c>
      <x:c r="E16" s="26" t="str">
        <x:v>Solve or analyze a quadratic, absolute-value, or other nonlinear equation/system</x:v>
      </x:c>
    </x:row>
    <x:row r="17">
      <x:c r="A17" s="26" t="n">
        <x:v>13</x:v>
      </x:c>
      <x:c r="B17" s="26" t="str">
        <x:v>Geometry &amp; Trigonometry</x:v>
      </x:c>
      <x:c r="C17" s="26" t="str">
        <x:v>Circles</x:v>
      </x:c>
      <x:c r="D17" s="26" t="str">
        <x:v>Hard</x:v>
      </x:c>
      <x:c r="E17" s="26" t="str">
        <x:v>Use circle equations, radius/diameter, chords, or circumference/area</x:v>
      </x:c>
    </x:row>
    <x:row r="18">
      <x:c r="A18" s="26" t="n">
        <x:v>14</x:v>
      </x:c>
      <x:c r="B18" s="26" t="str">
        <x:v>Advanced Math</x:v>
      </x:c>
      <x:c r="C18" s="26" t="str">
        <x:v>Nonlinear Functions</x:v>
      </x:c>
      <x:c r="D18" s="26" t="str">
        <x:v>Hard</x:v>
      </x:c>
      <x:c r="E18" s="26" t="str">
        <x:v>Evaluate, model, transform, or interpret a quadratic, exponential, or rational function</x:v>
      </x:c>
    </x:row>
    <x:row r="19">
      <x:c r="A19" s="26" t="n">
        <x:v>15</x:v>
      </x:c>
      <x:c r="B19" s="26" t="str">
        <x:v>Advanced Math</x:v>
      </x:c>
      <x:c r="C19" s="26" t="str">
        <x:v>Nonlinear Functions</x:v>
      </x:c>
      <x:c r="D19" s="26" t="str">
        <x:v>Hard</x:v>
      </x:c>
      <x:c r="E19" s="26" t="str">
        <x:v>Evaluate, model, transform, or interpret a quadratic, exponential, or rational function</x:v>
      </x:c>
    </x:row>
    <x:row r="20">
      <x:c r="A20" s="26" t="n">
        <x:v>16</x:v>
      </x:c>
      <x:c r="B20" s="26" t="str">
        <x:v>Geometry &amp; Trigonometry</x:v>
      </x:c>
      <x:c r="C20" s="26" t="str">
        <x:v>Circles</x:v>
      </x:c>
      <x:c r="D20" s="26" t="str">
        <x:v>Hard</x:v>
      </x:c>
      <x:c r="E20" s="26" t="str">
        <x:v>Use circle equations, radius/diameter, chords, or circumference/area</x:v>
      </x:c>
    </x:row>
    <x:row r="21">
      <x:c r="A21" s="26" t="n">
        <x:v>17</x:v>
      </x:c>
      <x:c r="B21" s="26" t="str">
        <x:v>Geometry &amp; Trigonometry</x:v>
      </x:c>
      <x:c r="C21" s="26" t="str">
        <x:v>Right Triangles &amp; Trigonometry</x:v>
      </x:c>
      <x:c r="D21" s="26" t="str">
        <x:v>Hard</x:v>
      </x:c>
      <x:c r="E21" s="26" t="str">
        <x:v>Use right-triangle relationships or trigonometric ratios</x:v>
      </x:c>
    </x:row>
    <x:row r="22">
      <x:c r="A22" s="26" t="n">
        <x:v>18</x:v>
      </x:c>
      <x:c r="B22" s="26" t="str">
        <x:v>Advanced Math</x:v>
      </x:c>
      <x:c r="C22" s="26" t="str">
        <x:v>Nonlinear Equations</x:v>
      </x:c>
      <x:c r="D22" s="26" t="str">
        <x:v>Hard</x:v>
      </x:c>
      <x:c r="E22" s="26" t="str">
        <x:v>Solve or analyze a quadratic, absolute-value, or other nonlinear equation/system</x:v>
      </x:c>
    </x:row>
    <x:row r="23">
      <x:c r="A23" s="26" t="n">
        <x:v>19</x:v>
      </x:c>
      <x:c r="B23" s="26" t="str">
        <x:v>Geometry &amp; Trigonometry</x:v>
      </x:c>
      <x:c r="C23" s="26" t="str">
        <x:v>Lines, Angles &amp; Triangles</x:v>
      </x:c>
      <x:c r="D23" s="26" t="str">
        <x:v>Medium</x:v>
      </x:c>
      <x:c r="E23" s="26" t="str">
        <x:v>Use angle, triangle, congruence, similarity, or line relationships</x:v>
      </x:c>
    </x:row>
    <x:row r="24">
      <x:c r="A24" s="26" t="n">
        <x:v>20</x:v>
      </x:c>
      <x:c r="B24" s="26" t="str">
        <x:v>Problem-Solving &amp; Data Analysis</x:v>
      </x:c>
      <x:c r="C24" s="26" t="str">
        <x:v>Percentages</x:v>
      </x:c>
      <x:c r="D24" s="26" t="str">
        <x:v>Medium</x:v>
      </x:c>
      <x:c r="E24" s="26" t="str">
        <x:v>Solve a percent, percent-change, or part-whole problem</x:v>
      </x:c>
    </x:row>
    <x:row r="25">
      <x:c r="A25" s="26" t="n">
        <x:v>21</x:v>
      </x:c>
      <x:c r="B25" s="26" t="str">
        <x:v>Algebra</x:v>
      </x:c>
      <x:c r="C25" s="26" t="str">
        <x:v>Linear Functions</x:v>
      </x:c>
      <x:c r="D25" s="26" t="str">
        <x:v>Easy</x:v>
      </x:c>
      <x:c r="E25" s="26" t="str">
        <x:v>Determine, evaluate, or interpret slope, intercepts, or a linear function</x:v>
      </x:c>
    </x:row>
    <x:row r="26">
      <x:c r="A26" s="26" t="n">
        <x:v>22</x:v>
      </x:c>
      <x:c r="B26" s="26" t="str">
        <x:v>Problem-Solving &amp; Data Analysis</x:v>
      </x:c>
      <x:c r="C26" s="26" t="str">
        <x:v>One-Variable Data</x:v>
      </x:c>
      <x:c r="D26" s="26" t="str">
        <x:v>Medium</x:v>
      </x:c>
      <x:c r="E26" s="26" t="str">
        <x:v>Analyze a one-variable data set, distribution, mean, median, or range</x:v>
      </x:c>
    </x:row>
  </x:sheetData>
  <x:mergeCells>
    <x:mergeCell ref="A1:E1"/>
    <x:mergeCell ref="A2:E2"/>
  </x:mergeCells>
  <x:conditionalFormatting sqref="D5:D26">
    <x:cfRule type="expression" dxfId="24" priority="1">
      <x:formula>D5="Easy"</x:formula>
    </x:cfRule>
    <x:cfRule type="expression" dxfId="25" priority="2">
      <x:formula>D5="Medium"</x:formula>
    </x:cfRule>
    <x:cfRule type="expression" dxfId="26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4b274dfeae4cb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US Jun24 A Math M2 — Pattern Analysis</x:v>
      </x:c>
      <x:c r="B1" s="5"/>
      <x:c r="C1" s="5"/>
      <x:c r="D1" s="5"/>
      <x:c r="E1" s="5"/>
    </x:row>
    <x:row r="2">
      <x:c r="A2" s="12" t="str">
        <x:v>Target difficulty: ≈60%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Problem-Solving &amp; Data Analysis</x:v>
      </x:c>
      <x:c r="C5" s="26" t="str">
        <x:v>One-Variable Data</x:v>
      </x:c>
      <x:c r="D5" s="26" t="str">
        <x:v>Easy</x:v>
      </x:c>
      <x:c r="E5" s="26" t="str">
        <x:v>Analyze a one-variable data set, distribution, mean, median, or range</x:v>
      </x:c>
    </x:row>
    <x:row r="6">
      <x:c r="A6" s="26" t="n">
        <x:v>2</x:v>
      </x:c>
      <x:c r="B6" s="26" t="str">
        <x:v>Problem-Solving &amp; Data Analysis</x:v>
      </x:c>
      <x:c r="C6" s="26" t="str">
        <x:v>Two-Variable Data &amp; Models</x:v>
      </x:c>
      <x:c r="D6" s="26" t="str">
        <x:v>Medium</x:v>
      </x:c>
      <x:c r="E6" s="26" t="str">
        <x:v>Interpret a scatterplot, line of best fit, or relationship between two variables</x:v>
      </x:c>
    </x:row>
    <x:row r="7">
      <x:c r="A7" s="26" t="n">
        <x:v>3</x:v>
      </x:c>
      <x:c r="B7" s="26" t="str">
        <x:v>Algebra</x:v>
      </x:c>
      <x:c r="C7" s="26" t="str">
        <x:v>Linear Equations in One Variable</x:v>
      </x:c>
      <x:c r="D7" s="26" t="str">
        <x:v>Easy</x:v>
      </x:c>
      <x:c r="E7" s="26" t="str">
        <x:v>Solve or interpret a linear equation in one variable</x:v>
      </x:c>
    </x:row>
    <x:row r="8">
      <x:c r="A8" s="26" t="n">
        <x:v>4</x:v>
      </x:c>
      <x:c r="B8" s="26" t="str">
        <x:v>Problem-Solving &amp; Data Analysis</x:v>
      </x:c>
      <x:c r="C8" s="26" t="str">
        <x:v>Ratios, Rates, Proportions &amp; Units</x:v>
      </x:c>
      <x:c r="D8" s="26" t="str">
        <x:v>Easy</x:v>
      </x:c>
      <x:c r="E8" s="26" t="str">
        <x:v>Use ratios, rates, proportions, density, or unit conversions</x:v>
      </x:c>
    </x:row>
    <x:row r="9">
      <x:c r="A9" s="26" t="n">
        <x:v>5</x:v>
      </x:c>
      <x:c r="B9" s="26" t="str">
        <x:v>Algebra</x:v>
      </x:c>
      <x:c r="C9" s="26" t="str">
        <x:v>Linear Inequalities</x:v>
      </x:c>
      <x:c r="D9" s="26" t="str">
        <x:v>Medium</x:v>
      </x:c>
      <x:c r="E9" s="26" t="str">
        <x:v>Solve, graph, or interpret a linear inequality or system of inequalities</x:v>
      </x:c>
    </x:row>
    <x:row r="10">
      <x:c r="A10" s="26" t="n">
        <x:v>6</x:v>
      </x:c>
      <x:c r="B10" s="26" t="str">
        <x:v>Algebra</x:v>
      </x:c>
      <x:c r="C10" s="26" t="str">
        <x:v>Linear Functions</x:v>
      </x:c>
      <x:c r="D10" s="26" t="str">
        <x:v>Easy</x:v>
      </x:c>
      <x:c r="E10" s="26" t="str">
        <x:v>Determine, evaluate, or interpret slope, intercepts, or a linear function</x:v>
      </x:c>
    </x:row>
    <x:row r="11">
      <x:c r="A11" s="26" t="n">
        <x:v>7</x:v>
      </x:c>
      <x:c r="B11" s="26" t="str">
        <x:v>Geometry &amp; Trigonometry</x:v>
      </x:c>
      <x:c r="C11" s="26" t="str">
        <x:v>Lines, Angles &amp; Triangles</x:v>
      </x:c>
      <x:c r="D11" s="26" t="str">
        <x:v>Medium</x:v>
      </x:c>
      <x:c r="E11" s="26" t="str">
        <x:v>Use angle, triangle, congruence, similarity, or line relationships</x:v>
      </x:c>
    </x:row>
    <x:row r="12">
      <x:c r="A12" s="26" t="n">
        <x:v>8</x:v>
      </x:c>
      <x:c r="B12" s="26" t="str">
        <x:v>Algebra</x:v>
      </x:c>
      <x:c r="C12" s="26" t="str">
        <x:v>Systems of Two Linear Equations</x:v>
      </x:c>
      <x:c r="D12" s="26" t="str">
        <x:v>Hard</x:v>
      </x:c>
      <x:c r="E12" s="26" t="str">
        <x:v>Solve or analyze a system of two linear equations</x:v>
      </x:c>
    </x:row>
    <x:row r="13">
      <x:c r="A13" s="26" t="n">
        <x:v>9</x:v>
      </x:c>
      <x:c r="B13" s="26" t="str">
        <x:v>Advanced Math</x:v>
      </x:c>
      <x:c r="C13" s="26" t="str">
        <x:v>Nonlinear Functions</x:v>
      </x:c>
      <x:c r="D13" s="26" t="str">
        <x:v>Hard</x:v>
      </x:c>
      <x:c r="E13" s="26" t="str">
        <x:v>Evaluate, model, transform, or interpret a quadratic, exponential, or rational function</x:v>
      </x:c>
    </x:row>
    <x:row r="14">
      <x:c r="A14" s="26" t="n">
        <x:v>10</x:v>
      </x:c>
      <x:c r="B14" s="26" t="str">
        <x:v>Geometry &amp; Trigonometry</x:v>
      </x:c>
      <x:c r="C14" s="26" t="str">
        <x:v>Right Triangles &amp; Trigonometry</x:v>
      </x:c>
      <x:c r="D14" s="26" t="str">
        <x:v>Hard</x:v>
      </x:c>
      <x:c r="E14" s="26" t="str">
        <x:v>Use right-triangle relationships or trigonometric ratios</x:v>
      </x:c>
    </x:row>
    <x:row r="15">
      <x:c r="A15" s="26" t="n">
        <x:v>11</x:v>
      </x:c>
      <x:c r="B15" s="26" t="str">
        <x:v>Algebra</x:v>
      </x:c>
      <x:c r="C15" s="26" t="str">
        <x:v>Systems of Two Linear Equations</x:v>
      </x:c>
      <x:c r="D15" s="26" t="str">
        <x:v>Hard</x:v>
      </x:c>
      <x:c r="E15" s="26" t="str">
        <x:v>Solve or analyze a system of two linear equations</x:v>
      </x:c>
    </x:row>
    <x:row r="16">
      <x:c r="A16" s="26" t="n">
        <x:v>12</x:v>
      </x:c>
      <x:c r="B16" s="26" t="str">
        <x:v>Problem-Solving &amp; Data Analysis</x:v>
      </x:c>
      <x:c r="C16" s="26" t="str">
        <x:v>Probability</x:v>
      </x:c>
      <x:c r="D16" s="26" t="str">
        <x:v>Hard</x:v>
      </x:c>
      <x:c r="E16" s="26" t="str">
        <x:v>Compute or interpret probability, including conditional probability</x:v>
      </x:c>
    </x:row>
    <x:row r="17">
      <x:c r="A17" s="26" t="n">
        <x:v>13</x:v>
      </x:c>
      <x:c r="B17" s="26" t="str">
        <x:v>Advanced Math</x:v>
      </x:c>
      <x:c r="C17" s="26" t="str">
        <x:v>Nonlinear Functions</x:v>
      </x:c>
      <x:c r="D17" s="26" t="str">
        <x:v>Hard</x:v>
      </x:c>
      <x:c r="E17" s="26" t="str">
        <x:v>Evaluate, model, transform, or interpret a quadratic, exponential, or rational function</x:v>
      </x:c>
    </x:row>
    <x:row r="18">
      <x:c r="A18" s="26" t="n">
        <x:v>14</x:v>
      </x:c>
      <x:c r="B18" s="26" t="str">
        <x:v>Advanced Math</x:v>
      </x:c>
      <x:c r="C18" s="26" t="str">
        <x:v>Nonlinear Functions</x:v>
      </x:c>
      <x:c r="D18" s="26" t="str">
        <x:v>Hard</x:v>
      </x:c>
      <x:c r="E18" s="26" t="str">
        <x:v>Evaluate, model, transform, or interpret a quadratic, exponential, or rational function</x:v>
      </x:c>
    </x:row>
    <x:row r="19">
      <x:c r="A19" s="26" t="n">
        <x:v>15</x:v>
      </x:c>
      <x:c r="B19" s="26" t="str">
        <x:v>Advanced Math</x:v>
      </x:c>
      <x:c r="C19" s="26" t="str">
        <x:v>Nonlinear Functions</x:v>
      </x:c>
      <x:c r="D19" s="26" t="str">
        <x:v>Hard</x:v>
      </x:c>
      <x:c r="E19" s="26" t="str">
        <x:v>Evaluate, model, transform, or interpret a quadratic, exponential, or rational function</x:v>
      </x:c>
    </x:row>
    <x:row r="20">
      <x:c r="A20" s="26" t="n">
        <x:v>16</x:v>
      </x:c>
      <x:c r="B20" s="26" t="str">
        <x:v>Advanced Math</x:v>
      </x:c>
      <x:c r="C20" s="26" t="str">
        <x:v>Equivalent Expressions</x:v>
      </x:c>
      <x:c r="D20" s="26" t="str">
        <x:v>Hard</x:v>
      </x:c>
      <x:c r="E20" s="26" t="str">
        <x:v>Rewrite, factor, expand, or compare equivalent expressions</x:v>
      </x:c>
    </x:row>
    <x:row r="21">
      <x:c r="A21" s="26" t="n">
        <x:v>17</x:v>
      </x:c>
      <x:c r="B21" s="26" t="str">
        <x:v>Geometry &amp; Trigonometry</x:v>
      </x:c>
      <x:c r="C21" s="26" t="str">
        <x:v>Area &amp; Volume</x:v>
      </x:c>
      <x:c r="D21" s="26" t="str">
        <x:v>Hard</x:v>
      </x:c>
      <x:c r="E21" s="26" t="str">
        <x:v>Apply area, surface-area, or volume relationships</x:v>
      </x:c>
    </x:row>
    <x:row r="22">
      <x:c r="A22" s="26" t="n">
        <x:v>18</x:v>
      </x:c>
      <x:c r="B22" s="26" t="str">
        <x:v>Advanced Math</x:v>
      </x:c>
      <x:c r="C22" s="26" t="str">
        <x:v>Equivalent Expressions</x:v>
      </x:c>
      <x:c r="D22" s="26" t="str">
        <x:v>Hard</x:v>
      </x:c>
      <x:c r="E22" s="26" t="str">
        <x:v>Rewrite, factor, expand, or compare equivalent expressions</x:v>
      </x:c>
    </x:row>
    <x:row r="23">
      <x:c r="A23" s="26" t="n">
        <x:v>19</x:v>
      </x:c>
      <x:c r="B23" s="26" t="str">
        <x:v>Advanced Math</x:v>
      </x:c>
      <x:c r="C23" s="26" t="str">
        <x:v>Nonlinear Equations</x:v>
      </x:c>
      <x:c r="D23" s="26" t="str">
        <x:v>Hard</x:v>
      </x:c>
      <x:c r="E23" s="26" t="str">
        <x:v>Solve or analyze a quadratic, absolute-value, or other nonlinear equation/system</x:v>
      </x:c>
    </x:row>
    <x:row r="24">
      <x:c r="A24" s="26" t="n">
        <x:v>20</x:v>
      </x:c>
      <x:c r="B24" s="26" t="str">
        <x:v>Problem-Solving &amp; Data Analysis</x:v>
      </x:c>
      <x:c r="C24" s="26" t="str">
        <x:v>Percentages</x:v>
      </x:c>
      <x:c r="D24" s="26" t="str">
        <x:v>Medium</x:v>
      </x:c>
      <x:c r="E24" s="26" t="str">
        <x:v>Solve a percent, percent-change, or part-whole problem</x:v>
      </x:c>
    </x:row>
    <x:row r="25">
      <x:c r="A25" s="26" t="n">
        <x:v>21</x:v>
      </x:c>
      <x:c r="B25" s="26" t="str">
        <x:v>Advanced Math</x:v>
      </x:c>
      <x:c r="C25" s="26" t="str">
        <x:v>Nonlinear Functions</x:v>
      </x:c>
      <x:c r="D25" s="26" t="str">
        <x:v>Hard</x:v>
      </x:c>
      <x:c r="E25" s="26" t="str">
        <x:v>Evaluate, model, transform, or interpret a quadratic, exponential, or rational function</x:v>
      </x:c>
    </x:row>
    <x:row r="26">
      <x:c r="A26" s="26" t="n">
        <x:v>22</x:v>
      </x:c>
      <x:c r="B26" s="26" t="str">
        <x:v>Algebra</x:v>
      </x:c>
      <x:c r="C26" s="26" t="str">
        <x:v>Linear Functions</x:v>
      </x:c>
      <x:c r="D26" s="26" t="str">
        <x:v>Easy</x:v>
      </x:c>
      <x:c r="E26" s="26" t="str">
        <x:v>Determine, evaluate, or interpret slope, intercepts, or a linear function</x:v>
      </x:c>
    </x:row>
  </x:sheetData>
  <x:mergeCells>
    <x:mergeCell ref="A1:E1"/>
    <x:mergeCell ref="A2:E2"/>
  </x:mergeCells>
  <x:conditionalFormatting sqref="D5:D26">
    <x:cfRule type="expression" dxfId="27" priority="1">
      <x:formula>D5="Easy"</x:formula>
    </x:cfRule>
    <x:cfRule type="expression" dxfId="28" priority="2">
      <x:formula>D5="Medium"</x:formula>
    </x:cfRule>
    <x:cfRule type="expression" dxfId="29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6c4be270ee4e6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US Jun24 B EBRW M1 — Pattern Analysis</x:v>
      </x:c>
      <x:c r="B1" s="5"/>
      <x:c r="C1" s="5"/>
      <x:c r="D1" s="5"/>
      <x:c r="E1" s="5"/>
    </x:row>
    <x:row r="2">
      <x:c r="A2" s="12" t="str">
        <x:v>Target difficulty: ≈30%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Craft &amp; Structure</x:v>
      </x:c>
      <x:c r="C5" s="26" t="str">
        <x:v>Words in Context</x:v>
      </x:c>
      <x:c r="D5" s="26" t="str">
        <x:v>Easy</x:v>
      </x:c>
      <x:c r="E5" s="26" t="str">
        <x:v>Determine contextual meaning or choose the most precise word/phrase</x:v>
      </x:c>
    </x:row>
    <x:row r="6">
      <x:c r="A6" s="26" t="n">
        <x:v>2</x:v>
      </x:c>
      <x:c r="B6" s="26" t="str">
        <x:v>Craft &amp; Structure</x:v>
      </x:c>
      <x:c r="C6" s="26" t="str">
        <x:v>Words in Context</x:v>
      </x:c>
      <x:c r="D6" s="26" t="str">
        <x:v>Easy</x:v>
      </x:c>
      <x:c r="E6" s="26" t="str">
        <x:v>Determine contextual meaning or choose the most precise word/phrase</x:v>
      </x:c>
    </x:row>
    <x:row r="7">
      <x:c r="A7" s="26" t="n">
        <x:v>3</x:v>
      </x:c>
      <x:c r="B7" s="26" t="str">
        <x:v>Craft &amp; Structure</x:v>
      </x:c>
      <x:c r="C7" s="26" t="str">
        <x:v>Words in Context</x:v>
      </x:c>
      <x:c r="D7" s="26" t="str">
        <x:v>Easy</x:v>
      </x:c>
      <x:c r="E7" s="26" t="str">
        <x:v>Determine contextual meaning or choose the most precise word/phrase</x:v>
      </x:c>
    </x:row>
    <x:row r="8">
      <x:c r="A8" s="26" t="n">
        <x:v>4</x:v>
      </x:c>
      <x:c r="B8" s="26" t="str">
        <x:v>Craft &amp; Structure</x:v>
      </x:c>
      <x:c r="C8" s="26" t="str">
        <x:v>Words in Context</x:v>
      </x:c>
      <x:c r="D8" s="26" t="str">
        <x:v>Easy</x:v>
      </x:c>
      <x:c r="E8" s="26" t="str">
        <x:v>Determine contextual meaning or choose the most precise word/phrase</x:v>
      </x:c>
    </x:row>
    <x:row r="9">
      <x:c r="A9" s="26" t="n">
        <x:v>5</x:v>
      </x:c>
      <x:c r="B9" s="26" t="str">
        <x:v>Craft &amp; Structure</x:v>
      </x:c>
      <x:c r="C9" s="26" t="str">
        <x:v>Words in Context</x:v>
      </x:c>
      <x:c r="D9" s="26" t="str">
        <x:v>Easy</x:v>
      </x:c>
      <x:c r="E9" s="26" t="str">
        <x:v>Determine contextual meaning or choose the most precise word/phrase</x:v>
      </x:c>
    </x:row>
    <x:row r="10">
      <x:c r="A10" s="26" t="n">
        <x:v>6</x:v>
      </x:c>
      <x:c r="B10" s="26" t="str">
        <x:v>Craft &amp; Structure</x:v>
      </x:c>
      <x:c r="C10" s="26" t="str">
        <x:v>Text Structure &amp; Purpose</x:v>
      </x:c>
      <x:c r="D10" s="26" t="str">
        <x:v>Medium</x:v>
      </x:c>
      <x:c r="E10" s="26" t="str">
        <x:v>Analyze the function, purpose, or organization of the text</x:v>
      </x:c>
    </x:row>
    <x:row r="11">
      <x:c r="A11" s="26" t="n">
        <x:v>7</x:v>
      </x:c>
      <x:c r="B11" s="26" t="str">
        <x:v>Craft &amp; Structure</x:v>
      </x:c>
      <x:c r="C11" s="26" t="str">
        <x:v>Text Structure &amp; Purpose</x:v>
      </x:c>
      <x:c r="D11" s="26" t="str">
        <x:v>Medium</x:v>
      </x:c>
      <x:c r="E11" s="26" t="str">
        <x:v>Analyze the function, purpose, or organization of the text</x:v>
      </x:c>
    </x:row>
    <x:row r="12">
      <x:c r="A12" s="26" t="n">
        <x:v>8</x:v>
      </x:c>
      <x:c r="B12" s="26" t="str">
        <x:v>Craft &amp; Structure</x:v>
      </x:c>
      <x:c r="C12" s="26" t="str">
        <x:v>Text Structure &amp; Purpose</x:v>
      </x:c>
      <x:c r="D12" s="26" t="str">
        <x:v>Hard</x:v>
      </x:c>
      <x:c r="E12" s="26" t="str">
        <x:v>Analyze the function, purpose, or organization of the text</x:v>
      </x:c>
    </x:row>
    <x:row r="13">
      <x:c r="A13" s="26" t="n">
        <x:v>9</x:v>
      </x:c>
      <x:c r="B13" s="26" t="str">
        <x:v>Information &amp; Ideas</x:v>
      </x:c>
      <x:c r="C13" s="26" t="str">
        <x:v>Inferences</x:v>
      </x:c>
      <x:c r="D13" s="26" t="str">
        <x:v>Hard</x:v>
      </x:c>
      <x:c r="E13" s="26" t="str">
        <x:v>Draw the conclusion or inference best supported by the text</x:v>
      </x:c>
    </x:row>
    <x:row r="14">
      <x:c r="A14" s="26" t="n">
        <x:v>10</x:v>
      </x:c>
      <x:c r="B14" s="26" t="str">
        <x:v>Information &amp; Ideas</x:v>
      </x:c>
      <x:c r="C14" s="26" t="str">
        <x:v>Inferences</x:v>
      </x:c>
      <x:c r="D14" s="26" t="str">
        <x:v>Hard</x:v>
      </x:c>
      <x:c r="E14" s="26" t="str">
        <x:v>Draw the conclusion or inference best supported by the text</x:v>
      </x:c>
    </x:row>
    <x:row r="15">
      <x:c r="A15" s="26" t="n">
        <x:v>11</x:v>
      </x:c>
      <x:c r="B15" s="26" t="str">
        <x:v>Information &amp; Ideas</x:v>
      </x:c>
      <x:c r="C15" s="26" t="str">
        <x:v>Inferences</x:v>
      </x:c>
      <x:c r="D15" s="26" t="str">
        <x:v>Hard</x:v>
      </x:c>
      <x:c r="E15" s="26" t="str">
        <x:v>Draw the conclusion or inference best supported by the text</x:v>
      </x:c>
    </x:row>
    <x:row r="16">
      <x:c r="A16" s="26" t="n">
        <x:v>12</x:v>
      </x:c>
      <x:c r="B16" s="26" t="str">
        <x:v>Information &amp; Ideas</x:v>
      </x:c>
      <x:c r="C16" s="26" t="str">
        <x:v>Inferences</x:v>
      </x:c>
      <x:c r="D16" s="26" t="str">
        <x:v>Hard</x:v>
      </x:c>
      <x:c r="E16" s="26" t="str">
        <x:v>Draw the conclusion or inference best supported by the text</x:v>
      </x:c>
    </x:row>
    <x:row r="17">
      <x:c r="A17" s="26" t="n">
        <x:v>13</x:v>
      </x:c>
      <x:c r="B17" s="26" t="str">
        <x:v>Information &amp; Ideas</x:v>
      </x:c>
      <x:c r="C17" s="26" t="str">
        <x:v>Inferences</x:v>
      </x:c>
      <x:c r="D17" s="26" t="str">
        <x:v>Hard</x:v>
      </x:c>
      <x:c r="E17" s="26" t="str">
        <x:v>Draw the conclusion or inference best supported by the text</x:v>
      </x:c>
    </x:row>
    <x:row r="18">
      <x:c r="A18" s="26" t="n">
        <x:v>14</x:v>
      </x:c>
      <x:c r="B18" s="26" t="str">
        <x:v>Information &amp; Ideas</x:v>
      </x:c>
      <x:c r="C18" s="26" t="str">
        <x:v>Inferences</x:v>
      </x:c>
      <x:c r="D18" s="26" t="str">
        <x:v>Hard</x:v>
      </x:c>
      <x:c r="E18" s="26" t="str">
        <x:v>Draw the conclusion or inference best supported by the text</x:v>
      </x:c>
    </x:row>
    <x:row r="19">
      <x:c r="A19" s="26" t="n">
        <x:v>15</x:v>
      </x:c>
      <x:c r="B19" s="26" t="str">
        <x:v>Information &amp; Ideas</x:v>
      </x:c>
      <x:c r="C19" s="26" t="str">
        <x:v>Inferences</x:v>
      </x:c>
      <x:c r="D19" s="26" t="str">
        <x:v>Hard</x:v>
      </x:c>
      <x:c r="E19" s="26" t="str">
        <x:v>Draw the conclusion or inference best supported by the text</x:v>
      </x:c>
    </x:row>
    <x:row r="20">
      <x:c r="A20" s="26" t="n">
        <x:v>16</x:v>
      </x:c>
      <x:c r="B20" s="26" t="str">
        <x:v>Standard English Conventions</x:v>
      </x:c>
      <x:c r="C20" s="26" t="str">
        <x:v>Form, Structure &amp; Sense</x:v>
      </x:c>
      <x:c r="D20" s="26" t="str">
        <x:v>Medium</x:v>
      </x:c>
      <x:c r="E20" s="26" t="str">
        <x:v>Apply grammar, agreement, verb-form, pronoun, or modifier conventions</x:v>
      </x:c>
    </x:row>
    <x:row r="21">
      <x:c r="A21" s="26" t="n">
        <x:v>17</x:v>
      </x:c>
      <x:c r="B21" s="26" t="str">
        <x:v>Standard English Conventions</x:v>
      </x:c>
      <x:c r="C21" s="26" t="str">
        <x:v>Form, Structure &amp; Sense</x:v>
      </x:c>
      <x:c r="D21" s="26" t="str">
        <x:v>Medium</x:v>
      </x:c>
      <x:c r="E21" s="26" t="str">
        <x:v>Apply grammar, agreement, verb-form, pronoun, or modifier conventions</x:v>
      </x:c>
    </x:row>
    <x:row r="22">
      <x:c r="A22" s="26" t="n">
        <x:v>18</x:v>
      </x:c>
      <x:c r="B22" s="26" t="str">
        <x:v>Standard English Conventions</x:v>
      </x:c>
      <x:c r="C22" s="26" t="str">
        <x:v>Form, Structure &amp; Sense</x:v>
      </x:c>
      <x:c r="D22" s="26" t="str">
        <x:v>Medium</x:v>
      </x:c>
      <x:c r="E22" s="26" t="str">
        <x:v>Apply grammar, agreement, verb-form, pronoun, or modifier conventions</x:v>
      </x:c>
    </x:row>
    <x:row r="23">
      <x:c r="A23" s="26" t="n">
        <x:v>19</x:v>
      </x:c>
      <x:c r="B23" s="26" t="str">
        <x:v>Standard English Conventions</x:v>
      </x:c>
      <x:c r="C23" s="26" t="str">
        <x:v>Form, Structure &amp; Sense</x:v>
      </x:c>
      <x:c r="D23" s="26" t="str">
        <x:v>Medium</x:v>
      </x:c>
      <x:c r="E23" s="26" t="str">
        <x:v>Apply grammar, agreement, verb-form, pronoun, or modifier conventions</x:v>
      </x:c>
    </x:row>
    <x:row r="24">
      <x:c r="A24" s="26" t="n">
        <x:v>20</x:v>
      </x:c>
      <x:c r="B24" s="26" t="str">
        <x:v>Standard English Conventions</x:v>
      </x:c>
      <x:c r="C24" s="26" t="str">
        <x:v>Form, Structure &amp; Sense</x:v>
      </x:c>
      <x:c r="D24" s="26" t="str">
        <x:v>Medium</x:v>
      </x:c>
      <x:c r="E24" s="26" t="str">
        <x:v>Apply grammar, agreement, verb-form, pronoun, or modifier conventions</x:v>
      </x:c>
    </x:row>
    <x:row r="25">
      <x:c r="A25" s="26" t="n">
        <x:v>21</x:v>
      </x:c>
      <x:c r="B25" s="26" t="str">
        <x:v>Expression of Ideas</x:v>
      </x:c>
      <x:c r="C25" s="26" t="str">
        <x:v>Transitions</x:v>
      </x:c>
      <x:c r="D25" s="26" t="str">
        <x:v>Easy</x:v>
      </x:c>
      <x:c r="E25" s="26" t="str">
        <x:v>Choose the transition that best expresses the logical relationship</x:v>
      </x:c>
    </x:row>
    <x:row r="26">
      <x:c r="A26" s="26" t="n">
        <x:v>22</x:v>
      </x:c>
      <x:c r="B26" s="26" t="str">
        <x:v>Expression of Ideas</x:v>
      </x:c>
      <x:c r="C26" s="26" t="str">
        <x:v>Transitions</x:v>
      </x:c>
      <x:c r="D26" s="26" t="str">
        <x:v>Medium</x:v>
      </x:c>
      <x:c r="E26" s="26" t="str">
        <x:v>Choose the transition that best expresses the logical relationship</x:v>
      </x:c>
    </x:row>
    <x:row r="27">
      <x:c r="A27" s="26" t="n">
        <x:v>23</x:v>
      </x:c>
      <x:c r="B27" s="26" t="str">
        <x:v>Expression of Ideas</x:v>
      </x:c>
      <x:c r="C27" s="26" t="str">
        <x:v>Transitions</x:v>
      </x:c>
      <x:c r="D27" s="26" t="str">
        <x:v>Easy</x:v>
      </x:c>
      <x:c r="E27" s="26" t="str">
        <x:v>Choose the transition that best expresses the logical relationship</x:v>
      </x:c>
    </x:row>
    <x:row r="28">
      <x:c r="A28" s="26" t="n">
        <x:v>24</x:v>
      </x:c>
      <x:c r="B28" s="26" t="str">
        <x:v>Expression of Ideas</x:v>
      </x:c>
      <x:c r="C28" s="26" t="str">
        <x:v>Rhetorical Synthesis</x:v>
      </x:c>
      <x:c r="D28" s="26" t="str">
        <x:v>Easy</x:v>
      </x:c>
      <x:c r="E28" s="26" t="str">
        <x:v>Use notes to satisfy a specified rhetorical goal</x:v>
      </x:c>
    </x:row>
    <x:row r="29">
      <x:c r="A29" s="26" t="n">
        <x:v>25</x:v>
      </x:c>
      <x:c r="B29" s="26" t="str">
        <x:v>Expression of Ideas</x:v>
      </x:c>
      <x:c r="C29" s="26" t="str">
        <x:v>Rhetorical Synthesis</x:v>
      </x:c>
      <x:c r="D29" s="26" t="str">
        <x:v>Easy</x:v>
      </x:c>
      <x:c r="E29" s="26" t="str">
        <x:v>Use notes to satisfy a specified rhetorical goal</x:v>
      </x:c>
    </x:row>
    <x:row r="30">
      <x:c r="A30" s="26" t="n">
        <x:v>26</x:v>
      </x:c>
      <x:c r="B30" s="26" t="str">
        <x:v>Expression of Ideas</x:v>
      </x:c>
      <x:c r="C30" s="26" t="str">
        <x:v>Rhetorical Synthesis</x:v>
      </x:c>
      <x:c r="D30" s="26" t="str">
        <x:v>Medium</x:v>
      </x:c>
      <x:c r="E30" s="26" t="str">
        <x:v>Use notes to satisfy a specified rhetorical goal</x:v>
      </x:c>
    </x:row>
    <x:row r="31">
      <x:c r="A31" s="26" t="n">
        <x:v>27</x:v>
      </x:c>
      <x:c r="B31" s="26" t="str">
        <x:v>Expression of Ideas</x:v>
      </x:c>
      <x:c r="C31" s="26" t="str">
        <x:v>Rhetorical Synthesis</x:v>
      </x:c>
      <x:c r="D31" s="26" t="str">
        <x:v>Medium</x:v>
      </x:c>
      <x:c r="E31" s="26" t="str">
        <x:v>Use notes to satisfy a specified rhetorical goal</x:v>
      </x:c>
    </x:row>
  </x:sheetData>
  <x:mergeCells>
    <x:mergeCell ref="A1:E1"/>
    <x:mergeCell ref="A2:E2"/>
  </x:mergeCells>
  <x:conditionalFormatting sqref="D5:D31">
    <x:cfRule type="expression" dxfId="30" priority="1">
      <x:formula>D5="Easy"</x:formula>
    </x:cfRule>
    <x:cfRule type="expression" dxfId="31" priority="2">
      <x:formula>D5="Medium"</x:formula>
    </x:cfRule>
    <x:cfRule type="expression" dxfId="32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d729d4697b4f4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US Jun24 B EBRW M2 — Pattern Analysis</x:v>
      </x:c>
      <x:c r="B1" s="5"/>
      <x:c r="C1" s="5"/>
      <x:c r="D1" s="5"/>
      <x:c r="E1" s="5"/>
    </x:row>
    <x:row r="2">
      <x:c r="A2" s="12" t="str">
        <x:v>Target difficulty: ≈40%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Craft &amp; Structure</x:v>
      </x:c>
      <x:c r="C5" s="26" t="str">
        <x:v>Words in Context</x:v>
      </x:c>
      <x:c r="D5" s="26" t="str">
        <x:v>Easy</x:v>
      </x:c>
      <x:c r="E5" s="26" t="str">
        <x:v>Determine contextual meaning or choose the most precise word/phrase</x:v>
      </x:c>
    </x:row>
    <x:row r="6">
      <x:c r="A6" s="26" t="n">
        <x:v>2</x:v>
      </x:c>
      <x:c r="B6" s="26" t="str">
        <x:v>Craft &amp; Structure</x:v>
      </x:c>
      <x:c r="C6" s="26" t="str">
        <x:v>Words in Context</x:v>
      </x:c>
      <x:c r="D6" s="26" t="str">
        <x:v>Easy</x:v>
      </x:c>
      <x:c r="E6" s="26" t="str">
        <x:v>Determine contextual meaning or choose the most precise word/phrase</x:v>
      </x:c>
    </x:row>
    <x:row r="7">
      <x:c r="A7" s="26" t="n">
        <x:v>3</x:v>
      </x:c>
      <x:c r="B7" s="26" t="str">
        <x:v>Craft &amp; Structure</x:v>
      </x:c>
      <x:c r="C7" s="26" t="str">
        <x:v>Words in Context</x:v>
      </x:c>
      <x:c r="D7" s="26" t="str">
        <x:v>Easy</x:v>
      </x:c>
      <x:c r="E7" s="26" t="str">
        <x:v>Determine contextual meaning or choose the most precise word/phrase</x:v>
      </x:c>
    </x:row>
    <x:row r="8">
      <x:c r="A8" s="26" t="n">
        <x:v>4</x:v>
      </x:c>
      <x:c r="B8" s="26" t="str">
        <x:v>Craft &amp; Structure</x:v>
      </x:c>
      <x:c r="C8" s="26" t="str">
        <x:v>Words in Context</x:v>
      </x:c>
      <x:c r="D8" s="26" t="str">
        <x:v>Easy</x:v>
      </x:c>
      <x:c r="E8" s="26" t="str">
        <x:v>Determine contextual meaning or choose the most precise word/phrase</x:v>
      </x:c>
    </x:row>
    <x:row r="9">
      <x:c r="A9" s="26" t="n">
        <x:v>5</x:v>
      </x:c>
      <x:c r="B9" s="26" t="str">
        <x:v>Craft &amp; Structure</x:v>
      </x:c>
      <x:c r="C9" s="26" t="str">
        <x:v>Words in Context</x:v>
      </x:c>
      <x:c r="D9" s="26" t="str">
        <x:v>Easy</x:v>
      </x:c>
      <x:c r="E9" s="26" t="str">
        <x:v>Determine contextual meaning or choose the most precise word/phrase</x:v>
      </x:c>
    </x:row>
    <x:row r="10">
      <x:c r="A10" s="26" t="n">
        <x:v>6</x:v>
      </x:c>
      <x:c r="B10" s="26" t="str">
        <x:v>Craft &amp; Structure</x:v>
      </x:c>
      <x:c r="C10" s="26" t="str">
        <x:v>Text Structure &amp; Purpose</x:v>
      </x:c>
      <x:c r="D10" s="26" t="str">
        <x:v>Hard</x:v>
      </x:c>
      <x:c r="E10" s="26" t="str">
        <x:v>Analyze the function, purpose, or organization of the text</x:v>
      </x:c>
    </x:row>
    <x:row r="11">
      <x:c r="A11" s="26" t="n">
        <x:v>7</x:v>
      </x:c>
      <x:c r="B11" s="26" t="str">
        <x:v>Craft &amp; Structure</x:v>
      </x:c>
      <x:c r="C11" s="26" t="str">
        <x:v>Text Structure &amp; Purpose</x:v>
      </x:c>
      <x:c r="D11" s="26" t="str">
        <x:v>Hard</x:v>
      </x:c>
      <x:c r="E11" s="26" t="str">
        <x:v>Analyze the function, purpose, or organization of the text</x:v>
      </x:c>
    </x:row>
    <x:row r="12">
      <x:c r="A12" s="26" t="n">
        <x:v>8</x:v>
      </x:c>
      <x:c r="B12" s="26" t="str">
        <x:v>Craft &amp; Structure</x:v>
      </x:c>
      <x:c r="C12" s="26" t="str">
        <x:v>Text Structure &amp; Purpose</x:v>
      </x:c>
      <x:c r="D12" s="26" t="str">
        <x:v>Hard</x:v>
      </x:c>
      <x:c r="E12" s="26" t="str">
        <x:v>Analyze the function, purpose, or organization of the text</x:v>
      </x:c>
    </x:row>
    <x:row r="13">
      <x:c r="A13" s="26" t="n">
        <x:v>9</x:v>
      </x:c>
      <x:c r="B13" s="26" t="str">
        <x:v>Information &amp; Ideas</x:v>
      </x:c>
      <x:c r="C13" s="26" t="str">
        <x:v>Inferences</x:v>
      </x:c>
      <x:c r="D13" s="26" t="str">
        <x:v>Hard</x:v>
      </x:c>
      <x:c r="E13" s="26" t="str">
        <x:v>Draw the conclusion or inference best supported by the text</x:v>
      </x:c>
    </x:row>
    <x:row r="14">
      <x:c r="A14" s="26" t="n">
        <x:v>10</x:v>
      </x:c>
      <x:c r="B14" s="26" t="str">
        <x:v>Information &amp; Ideas</x:v>
      </x:c>
      <x:c r="C14" s="26" t="str">
        <x:v>Inferences</x:v>
      </x:c>
      <x:c r="D14" s="26" t="str">
        <x:v>Hard</x:v>
      </x:c>
      <x:c r="E14" s="26" t="str">
        <x:v>Draw the conclusion or inference best supported by the text</x:v>
      </x:c>
    </x:row>
    <x:row r="15">
      <x:c r="A15" s="26" t="n">
        <x:v>11</x:v>
      </x:c>
      <x:c r="B15" s="26" t="str">
        <x:v>Information &amp; Ideas</x:v>
      </x:c>
      <x:c r="C15" s="26" t="str">
        <x:v>Inferences</x:v>
      </x:c>
      <x:c r="D15" s="26" t="str">
        <x:v>Hard</x:v>
      </x:c>
      <x:c r="E15" s="26" t="str">
        <x:v>Draw the conclusion or inference best supported by the text</x:v>
      </x:c>
    </x:row>
    <x:row r="16">
      <x:c r="A16" s="26" t="n">
        <x:v>12</x:v>
      </x:c>
      <x:c r="B16" s="26" t="str">
        <x:v>Information &amp; Ideas</x:v>
      </x:c>
      <x:c r="C16" s="26" t="str">
        <x:v>Inferences</x:v>
      </x:c>
      <x:c r="D16" s="26" t="str">
        <x:v>Hard</x:v>
      </x:c>
      <x:c r="E16" s="26" t="str">
        <x:v>Draw the conclusion or inference best supported by the text</x:v>
      </x:c>
    </x:row>
    <x:row r="17">
      <x:c r="A17" s="26" t="n">
        <x:v>13</x:v>
      </x:c>
      <x:c r="B17" s="26" t="str">
        <x:v>Information &amp; Ideas</x:v>
      </x:c>
      <x:c r="C17" s="26" t="str">
        <x:v>Inferences</x:v>
      </x:c>
      <x:c r="D17" s="26" t="str">
        <x:v>Hard</x:v>
      </x:c>
      <x:c r="E17" s="26" t="str">
        <x:v>Draw the conclusion or inference best supported by the text</x:v>
      </x:c>
    </x:row>
    <x:row r="18">
      <x:c r="A18" s="26" t="n">
        <x:v>14</x:v>
      </x:c>
      <x:c r="B18" s="26" t="str">
        <x:v>Information &amp; Ideas</x:v>
      </x:c>
      <x:c r="C18" s="26" t="str">
        <x:v>Inferences</x:v>
      </x:c>
      <x:c r="D18" s="26" t="str">
        <x:v>Hard</x:v>
      </x:c>
      <x:c r="E18" s="26" t="str">
        <x:v>Draw the conclusion or inference best supported by the text</x:v>
      </x:c>
    </x:row>
    <x:row r="19">
      <x:c r="A19" s="26" t="n">
        <x:v>15</x:v>
      </x:c>
      <x:c r="B19" s="26" t="str">
        <x:v>Information &amp; Ideas</x:v>
      </x:c>
      <x:c r="C19" s="26" t="str">
        <x:v>Inferences</x:v>
      </x:c>
      <x:c r="D19" s="26" t="str">
        <x:v>Hard</x:v>
      </x:c>
      <x:c r="E19" s="26" t="str">
        <x:v>Draw the conclusion or inference best supported by the text</x:v>
      </x:c>
    </x:row>
    <x:row r="20">
      <x:c r="A20" s="26" t="n">
        <x:v>16</x:v>
      </x:c>
      <x:c r="B20" s="26" t="str">
        <x:v>Standard English Conventions</x:v>
      </x:c>
      <x:c r="C20" s="26" t="str">
        <x:v>Form, Structure &amp; Sense</x:v>
      </x:c>
      <x:c r="D20" s="26" t="str">
        <x:v>Medium</x:v>
      </x:c>
      <x:c r="E20" s="26" t="str">
        <x:v>Apply grammar, agreement, verb-form, pronoun, or modifier conventions</x:v>
      </x:c>
    </x:row>
    <x:row r="21">
      <x:c r="A21" s="26" t="n">
        <x:v>17</x:v>
      </x:c>
      <x:c r="B21" s="26" t="str">
        <x:v>Standard English Conventions</x:v>
      </x:c>
      <x:c r="C21" s="26" t="str">
        <x:v>Form, Structure &amp; Sense</x:v>
      </x:c>
      <x:c r="D21" s="26" t="str">
        <x:v>Medium</x:v>
      </x:c>
      <x:c r="E21" s="26" t="str">
        <x:v>Apply grammar, agreement, verb-form, pronoun, or modifier conventions</x:v>
      </x:c>
    </x:row>
    <x:row r="22">
      <x:c r="A22" s="26" t="n">
        <x:v>18</x:v>
      </x:c>
      <x:c r="B22" s="26" t="str">
        <x:v>Standard English Conventions</x:v>
      </x:c>
      <x:c r="C22" s="26" t="str">
        <x:v>Form, Structure &amp; Sense</x:v>
      </x:c>
      <x:c r="D22" s="26" t="str">
        <x:v>Medium</x:v>
      </x:c>
      <x:c r="E22" s="26" t="str">
        <x:v>Apply grammar, agreement, verb-form, pronoun, or modifier conventions</x:v>
      </x:c>
    </x:row>
    <x:row r="23">
      <x:c r="A23" s="26" t="n">
        <x:v>19</x:v>
      </x:c>
      <x:c r="B23" s="26" t="str">
        <x:v>Standard English Conventions</x:v>
      </x:c>
      <x:c r="C23" s="26" t="str">
        <x:v>Form, Structure &amp; Sense</x:v>
      </x:c>
      <x:c r="D23" s="26" t="str">
        <x:v>Medium</x:v>
      </x:c>
      <x:c r="E23" s="26" t="str">
        <x:v>Apply grammar, agreement, verb-form, pronoun, or modifier conventions</x:v>
      </x:c>
    </x:row>
    <x:row r="24">
      <x:c r="A24" s="26" t="n">
        <x:v>20</x:v>
      </x:c>
      <x:c r="B24" s="26" t="str">
        <x:v>Standard English Conventions</x:v>
      </x:c>
      <x:c r="C24" s="26" t="str">
        <x:v>Form, Structure &amp; Sense</x:v>
      </x:c>
      <x:c r="D24" s="26" t="str">
        <x:v>Hard</x:v>
      </x:c>
      <x:c r="E24" s="26" t="str">
        <x:v>Apply grammar, agreement, verb-form, pronoun, or modifier conventions</x:v>
      </x:c>
    </x:row>
    <x:row r="25">
      <x:c r="A25" s="26" t="n">
        <x:v>21</x:v>
      </x:c>
      <x:c r="B25" s="26" t="str">
        <x:v>Expression of Ideas</x:v>
      </x:c>
      <x:c r="C25" s="26" t="str">
        <x:v>Transitions</x:v>
      </x:c>
      <x:c r="D25" s="26" t="str">
        <x:v>Easy</x:v>
      </x:c>
      <x:c r="E25" s="26" t="str">
        <x:v>Choose the transition that best expresses the logical relationship</x:v>
      </x:c>
    </x:row>
    <x:row r="26">
      <x:c r="A26" s="26" t="n">
        <x:v>22</x:v>
      </x:c>
      <x:c r="B26" s="26" t="str">
        <x:v>Expression of Ideas</x:v>
      </x:c>
      <x:c r="C26" s="26" t="str">
        <x:v>Transitions</x:v>
      </x:c>
      <x:c r="D26" s="26" t="str">
        <x:v>Easy</x:v>
      </x:c>
      <x:c r="E26" s="26" t="str">
        <x:v>Choose the transition that best expresses the logical relationship</x:v>
      </x:c>
    </x:row>
    <x:row r="27">
      <x:c r="A27" s="26" t="n">
        <x:v>23</x:v>
      </x:c>
      <x:c r="B27" s="26" t="str">
        <x:v>Expression of Ideas</x:v>
      </x:c>
      <x:c r="C27" s="26" t="str">
        <x:v>Transitions</x:v>
      </x:c>
      <x:c r="D27" s="26" t="str">
        <x:v>Easy</x:v>
      </x:c>
      <x:c r="E27" s="26" t="str">
        <x:v>Choose the transition that best expresses the logical relationship</x:v>
      </x:c>
    </x:row>
    <x:row r="28">
      <x:c r="A28" s="26" t="n">
        <x:v>24</x:v>
      </x:c>
      <x:c r="B28" s="26" t="str">
        <x:v>Expression of Ideas</x:v>
      </x:c>
      <x:c r="C28" s="26" t="str">
        <x:v>Rhetorical Synthesis</x:v>
      </x:c>
      <x:c r="D28" s="26" t="str">
        <x:v>Medium</x:v>
      </x:c>
      <x:c r="E28" s="26" t="str">
        <x:v>Use notes to satisfy a specified rhetorical goal</x:v>
      </x:c>
    </x:row>
    <x:row r="29">
      <x:c r="A29" s="26" t="n">
        <x:v>25</x:v>
      </x:c>
      <x:c r="B29" s="26" t="str">
        <x:v>Expression of Ideas</x:v>
      </x:c>
      <x:c r="C29" s="26" t="str">
        <x:v>Rhetorical Synthesis</x:v>
      </x:c>
      <x:c r="D29" s="26" t="str">
        <x:v>Medium</x:v>
      </x:c>
      <x:c r="E29" s="26" t="str">
        <x:v>Use notes to satisfy a specified rhetorical goal</x:v>
      </x:c>
    </x:row>
    <x:row r="30">
      <x:c r="A30" s="26" t="n">
        <x:v>26</x:v>
      </x:c>
      <x:c r="B30" s="26" t="str">
        <x:v>Expression of Ideas</x:v>
      </x:c>
      <x:c r="C30" s="26" t="str">
        <x:v>Rhetorical Synthesis</x:v>
      </x:c>
      <x:c r="D30" s="26" t="str">
        <x:v>Medium</x:v>
      </x:c>
      <x:c r="E30" s="26" t="str">
        <x:v>Use notes to satisfy a specified rhetorical goal</x:v>
      </x:c>
    </x:row>
    <x:row r="31">
      <x:c r="A31" s="26" t="n">
        <x:v>27</x:v>
      </x:c>
      <x:c r="B31" s="26" t="str">
        <x:v>Expression of Ideas</x:v>
      </x:c>
      <x:c r="C31" s="26" t="str">
        <x:v>Rhetorical Synthesis</x:v>
      </x:c>
      <x:c r="D31" s="26" t="str">
        <x:v>Medium</x:v>
      </x:c>
      <x:c r="E31" s="26" t="str">
        <x:v>Use notes to satisfy a specified rhetorical goal</x:v>
      </x:c>
    </x:row>
  </x:sheetData>
  <x:mergeCells>
    <x:mergeCell ref="A1:E1"/>
    <x:mergeCell ref="A2:E2"/>
  </x:mergeCells>
  <x:conditionalFormatting sqref="D5:D31">
    <x:cfRule type="expression" dxfId="33" priority="1">
      <x:formula>D5="Easy"</x:formula>
    </x:cfRule>
    <x:cfRule type="expression" dxfId="34" priority="2">
      <x:formula>D5="Medium"</x:formula>
    </x:cfRule>
    <x:cfRule type="expression" dxfId="35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9b8079b8d24e1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US Oct24 A EBRW M1 — Pattern Analysis</x:v>
      </x:c>
      <x:c r="B1" s="5"/>
      <x:c r="C1" s="5"/>
      <x:c r="D1" s="5"/>
      <x:c r="E1" s="5"/>
    </x:row>
    <x:row r="2">
      <x:c r="A2" s="12" t="str">
        <x:v>Target difficulty: ≈30%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Craft &amp; Structure</x:v>
      </x:c>
      <x:c r="C5" s="26" t="str">
        <x:v>Words in Context</x:v>
      </x:c>
      <x:c r="D5" s="26" t="str">
        <x:v>Easy</x:v>
      </x:c>
      <x:c r="E5" s="26" t="str">
        <x:v>Determine contextual meaning or choose the most precise word/phrase</x:v>
      </x:c>
    </x:row>
    <x:row r="6">
      <x:c r="A6" s="26" t="n">
        <x:v>2</x:v>
      </x:c>
      <x:c r="B6" s="26" t="str">
        <x:v>Craft &amp; Structure</x:v>
      </x:c>
      <x:c r="C6" s="26" t="str">
        <x:v>Words in Context</x:v>
      </x:c>
      <x:c r="D6" s="26" t="str">
        <x:v>Easy</x:v>
      </x:c>
      <x:c r="E6" s="26" t="str">
        <x:v>Determine contextual meaning or choose the most precise word/phrase</x:v>
      </x:c>
    </x:row>
    <x:row r="7">
      <x:c r="A7" s="26" t="n">
        <x:v>3</x:v>
      </x:c>
      <x:c r="B7" s="26" t="str">
        <x:v>Craft &amp; Structure</x:v>
      </x:c>
      <x:c r="C7" s="26" t="str">
        <x:v>Words in Context</x:v>
      </x:c>
      <x:c r="D7" s="26" t="str">
        <x:v>Easy</x:v>
      </x:c>
      <x:c r="E7" s="26" t="str">
        <x:v>Determine contextual meaning or choose the most precise word/phrase</x:v>
      </x:c>
    </x:row>
    <x:row r="8">
      <x:c r="A8" s="26" t="n">
        <x:v>4</x:v>
      </x:c>
      <x:c r="B8" s="26" t="str">
        <x:v>Craft &amp; Structure</x:v>
      </x:c>
      <x:c r="C8" s="26" t="str">
        <x:v>Words in Context</x:v>
      </x:c>
      <x:c r="D8" s="26" t="str">
        <x:v>Easy</x:v>
      </x:c>
      <x:c r="E8" s="26" t="str">
        <x:v>Determine contextual meaning or choose the most precise word/phrase</x:v>
      </x:c>
    </x:row>
    <x:row r="9">
      <x:c r="A9" s="26" t="n">
        <x:v>5</x:v>
      </x:c>
      <x:c r="B9" s="26" t="str">
        <x:v>Craft &amp; Structure</x:v>
      </x:c>
      <x:c r="C9" s="26" t="str">
        <x:v>Words in Context</x:v>
      </x:c>
      <x:c r="D9" s="26" t="str">
        <x:v>Easy</x:v>
      </x:c>
      <x:c r="E9" s="26" t="str">
        <x:v>Determine contextual meaning or choose the most precise word/phrase</x:v>
      </x:c>
    </x:row>
    <x:row r="10">
      <x:c r="A10" s="26" t="n">
        <x:v>6</x:v>
      </x:c>
      <x:c r="B10" s="26" t="str">
        <x:v>Craft &amp; Structure</x:v>
      </x:c>
      <x:c r="C10" s="26" t="str">
        <x:v>Text Structure &amp; Purpose</x:v>
      </x:c>
      <x:c r="D10" s="26" t="str">
        <x:v>Medium</x:v>
      </x:c>
      <x:c r="E10" s="26" t="str">
        <x:v>Analyze the function, purpose, or organization of the text</x:v>
      </x:c>
    </x:row>
    <x:row r="11">
      <x:c r="A11" s="26" t="n">
        <x:v>7</x:v>
      </x:c>
      <x:c r="B11" s="26" t="str">
        <x:v>Craft &amp; Structure</x:v>
      </x:c>
      <x:c r="C11" s="26" t="str">
        <x:v>Text Structure &amp; Purpose</x:v>
      </x:c>
      <x:c r="D11" s="26" t="str">
        <x:v>Medium</x:v>
      </x:c>
      <x:c r="E11" s="26" t="str">
        <x:v>Analyze the function, purpose, or organization of the text</x:v>
      </x:c>
    </x:row>
    <x:row r="12">
      <x:c r="A12" s="26" t="n">
        <x:v>8</x:v>
      </x:c>
      <x:c r="B12" s="26" t="str">
        <x:v>Craft &amp; Structure</x:v>
      </x:c>
      <x:c r="C12" s="26" t="str">
        <x:v>Text Structure &amp; Purpose</x:v>
      </x:c>
      <x:c r="D12" s="26" t="str">
        <x:v>Hard</x:v>
      </x:c>
      <x:c r="E12" s="26" t="str">
        <x:v>Analyze the function, purpose, or organization of the text</x:v>
      </x:c>
    </x:row>
    <x:row r="13">
      <x:c r="A13" s="26" t="n">
        <x:v>9</x:v>
      </x:c>
      <x:c r="B13" s="26" t="str">
        <x:v>Information &amp; Ideas</x:v>
      </x:c>
      <x:c r="C13" s="26" t="str">
        <x:v>Inferences</x:v>
      </x:c>
      <x:c r="D13" s="26" t="str">
        <x:v>Hard</x:v>
      </x:c>
      <x:c r="E13" s="26" t="str">
        <x:v>Draw the conclusion or inference best supported by the text</x:v>
      </x:c>
    </x:row>
    <x:row r="14">
      <x:c r="A14" s="26" t="n">
        <x:v>10</x:v>
      </x:c>
      <x:c r="B14" s="26" t="str">
        <x:v>Information &amp; Ideas</x:v>
      </x:c>
      <x:c r="C14" s="26" t="str">
        <x:v>Inferences</x:v>
      </x:c>
      <x:c r="D14" s="26" t="str">
        <x:v>Hard</x:v>
      </x:c>
      <x:c r="E14" s="26" t="str">
        <x:v>Draw the conclusion or inference best supported by the text</x:v>
      </x:c>
    </x:row>
    <x:row r="15">
      <x:c r="A15" s="26" t="n">
        <x:v>11</x:v>
      </x:c>
      <x:c r="B15" s="26" t="str">
        <x:v>Information &amp; Ideas</x:v>
      </x:c>
      <x:c r="C15" s="26" t="str">
        <x:v>Inferences</x:v>
      </x:c>
      <x:c r="D15" s="26" t="str">
        <x:v>Hard</x:v>
      </x:c>
      <x:c r="E15" s="26" t="str">
        <x:v>Draw the conclusion or inference best supported by the text</x:v>
      </x:c>
    </x:row>
    <x:row r="16">
      <x:c r="A16" s="26" t="n">
        <x:v>12</x:v>
      </x:c>
      <x:c r="B16" s="26" t="str">
        <x:v>Information &amp; Ideas</x:v>
      </x:c>
      <x:c r="C16" s="26" t="str">
        <x:v>Command of Evidence — Quantitative</x:v>
      </x:c>
      <x:c r="D16" s="26" t="str">
        <x:v>Hard</x:v>
      </x:c>
      <x:c r="E16" s="26" t="str">
        <x:v>Use quantitative data from a table or graph to support or complete a claim</x:v>
      </x:c>
    </x:row>
    <x:row r="17">
      <x:c r="A17" s="26" t="n">
        <x:v>13</x:v>
      </x:c>
      <x:c r="B17" s="26" t="str">
        <x:v>Information &amp; Ideas</x:v>
      </x:c>
      <x:c r="C17" s="26" t="str">
        <x:v>Inferences</x:v>
      </x:c>
      <x:c r="D17" s="26" t="str">
        <x:v>Hard</x:v>
      </x:c>
      <x:c r="E17" s="26" t="str">
        <x:v>Draw the conclusion or inference best supported by the text</x:v>
      </x:c>
    </x:row>
    <x:row r="18">
      <x:c r="A18" s="26" t="n">
        <x:v>14</x:v>
      </x:c>
      <x:c r="B18" s="26" t="str">
        <x:v>Information &amp; Ideas</x:v>
      </x:c>
      <x:c r="C18" s="26" t="str">
        <x:v>Inferences</x:v>
      </x:c>
      <x:c r="D18" s="26" t="str">
        <x:v>Hard</x:v>
      </x:c>
      <x:c r="E18" s="26" t="str">
        <x:v>Draw the conclusion or inference best supported by the text</x:v>
      </x:c>
    </x:row>
    <x:row r="19">
      <x:c r="A19" s="26" t="n">
        <x:v>15</x:v>
      </x:c>
      <x:c r="B19" s="26" t="str">
        <x:v>Information &amp; Ideas</x:v>
      </x:c>
      <x:c r="C19" s="26" t="str">
        <x:v>Inferences</x:v>
      </x:c>
      <x:c r="D19" s="26" t="str">
        <x:v>Hard</x:v>
      </x:c>
      <x:c r="E19" s="26" t="str">
        <x:v>Draw the conclusion or inference best supported by the text</x:v>
      </x:c>
    </x:row>
    <x:row r="20">
      <x:c r="A20" s="26" t="n">
        <x:v>16</x:v>
      </x:c>
      <x:c r="B20" s="26" t="str">
        <x:v>Standard English Conventions</x:v>
      </x:c>
      <x:c r="C20" s="26" t="str">
        <x:v>Form, Structure &amp; Sense</x:v>
      </x:c>
      <x:c r="D20" s="26" t="str">
        <x:v>Medium</x:v>
      </x:c>
      <x:c r="E20" s="26" t="str">
        <x:v>Apply grammar, agreement, verb-form, pronoun, or modifier conventions</x:v>
      </x:c>
    </x:row>
    <x:row r="21">
      <x:c r="A21" s="26" t="n">
        <x:v>17</x:v>
      </x:c>
      <x:c r="B21" s="26" t="str">
        <x:v>Standard English Conventions</x:v>
      </x:c>
      <x:c r="C21" s="26" t="str">
        <x:v>Form, Structure &amp; Sense</x:v>
      </x:c>
      <x:c r="D21" s="26" t="str">
        <x:v>Medium</x:v>
      </x:c>
      <x:c r="E21" s="26" t="str">
        <x:v>Apply grammar, agreement, verb-form, pronoun, or modifier conventions</x:v>
      </x:c>
    </x:row>
    <x:row r="22">
      <x:c r="A22" s="26" t="n">
        <x:v>18</x:v>
      </x:c>
      <x:c r="B22" s="26" t="str">
        <x:v>Standard English Conventions</x:v>
      </x:c>
      <x:c r="C22" s="26" t="str">
        <x:v>Form, Structure &amp; Sense</x:v>
      </x:c>
      <x:c r="D22" s="26" t="str">
        <x:v>Medium</x:v>
      </x:c>
      <x:c r="E22" s="26" t="str">
        <x:v>Apply grammar, agreement, verb-form, pronoun, or modifier conventions</x:v>
      </x:c>
    </x:row>
    <x:row r="23">
      <x:c r="A23" s="26" t="n">
        <x:v>19</x:v>
      </x:c>
      <x:c r="B23" s="26" t="str">
        <x:v>Standard English Conventions</x:v>
      </x:c>
      <x:c r="C23" s="26" t="str">
        <x:v>Form, Structure &amp; Sense</x:v>
      </x:c>
      <x:c r="D23" s="26" t="str">
        <x:v>Medium</x:v>
      </x:c>
      <x:c r="E23" s="26" t="str">
        <x:v>Apply grammar, agreement, verb-form, pronoun, or modifier conventions</x:v>
      </x:c>
    </x:row>
    <x:row r="24">
      <x:c r="A24" s="26" t="n">
        <x:v>20</x:v>
      </x:c>
      <x:c r="B24" s="26" t="str">
        <x:v>Standard English Conventions</x:v>
      </x:c>
      <x:c r="C24" s="26" t="str">
        <x:v>Form, Structure &amp; Sense</x:v>
      </x:c>
      <x:c r="D24" s="26" t="str">
        <x:v>Medium</x:v>
      </x:c>
      <x:c r="E24" s="26" t="str">
        <x:v>Apply grammar, agreement, verb-form, pronoun, or modifier conventions</x:v>
      </x:c>
    </x:row>
    <x:row r="25">
      <x:c r="A25" s="26" t="n">
        <x:v>21</x:v>
      </x:c>
      <x:c r="B25" s="26" t="str">
        <x:v>Expression of Ideas</x:v>
      </x:c>
      <x:c r="C25" s="26" t="str">
        <x:v>Transitions</x:v>
      </x:c>
      <x:c r="D25" s="26" t="str">
        <x:v>Easy</x:v>
      </x:c>
      <x:c r="E25" s="26" t="str">
        <x:v>Choose the transition that best expresses the logical relationship</x:v>
      </x:c>
    </x:row>
    <x:row r="26">
      <x:c r="A26" s="26" t="n">
        <x:v>22</x:v>
      </x:c>
      <x:c r="B26" s="26" t="str">
        <x:v>Expression of Ideas</x:v>
      </x:c>
      <x:c r="C26" s="26" t="str">
        <x:v>Transitions</x:v>
      </x:c>
      <x:c r="D26" s="26" t="str">
        <x:v>Easy</x:v>
      </x:c>
      <x:c r="E26" s="26" t="str">
        <x:v>Choose the transition that best expresses the logical relationship</x:v>
      </x:c>
    </x:row>
    <x:row r="27">
      <x:c r="A27" s="26" t="n">
        <x:v>23</x:v>
      </x:c>
      <x:c r="B27" s="26" t="str">
        <x:v>Expression of Ideas</x:v>
      </x:c>
      <x:c r="C27" s="26" t="str">
        <x:v>Transitions</x:v>
      </x:c>
      <x:c r="D27" s="26" t="str">
        <x:v>Easy</x:v>
      </x:c>
      <x:c r="E27" s="26" t="str">
        <x:v>Choose the transition that best expresses the logical relationship</x:v>
      </x:c>
    </x:row>
    <x:row r="28">
      <x:c r="A28" s="26" t="n">
        <x:v>24</x:v>
      </x:c>
      <x:c r="B28" s="26" t="str">
        <x:v>Expression of Ideas</x:v>
      </x:c>
      <x:c r="C28" s="26" t="str">
        <x:v>Rhetorical Synthesis</x:v>
      </x:c>
      <x:c r="D28" s="26" t="str">
        <x:v>Easy</x:v>
      </x:c>
      <x:c r="E28" s="26" t="str">
        <x:v>Use notes to satisfy a specified rhetorical goal</x:v>
      </x:c>
    </x:row>
    <x:row r="29">
      <x:c r="A29" s="26" t="n">
        <x:v>25</x:v>
      </x:c>
      <x:c r="B29" s="26" t="str">
        <x:v>Expression of Ideas</x:v>
      </x:c>
      <x:c r="C29" s="26" t="str">
        <x:v>Rhetorical Synthesis</x:v>
      </x:c>
      <x:c r="D29" s="26" t="str">
        <x:v>Medium</x:v>
      </x:c>
      <x:c r="E29" s="26" t="str">
        <x:v>Use notes to satisfy a specified rhetorical goal</x:v>
      </x:c>
    </x:row>
    <x:row r="30">
      <x:c r="A30" s="26" t="n">
        <x:v>26</x:v>
      </x:c>
      <x:c r="B30" s="26" t="str">
        <x:v>Expression of Ideas</x:v>
      </x:c>
      <x:c r="C30" s="26" t="str">
        <x:v>Rhetorical Synthesis</x:v>
      </x:c>
      <x:c r="D30" s="26" t="str">
        <x:v>Medium</x:v>
      </x:c>
      <x:c r="E30" s="26" t="str">
        <x:v>Use notes to satisfy a specified rhetorical goal</x:v>
      </x:c>
    </x:row>
    <x:row r="31">
      <x:c r="A31" s="26" t="n">
        <x:v>27</x:v>
      </x:c>
      <x:c r="B31" s="26" t="str">
        <x:v>Expression of Ideas</x:v>
      </x:c>
      <x:c r="C31" s="26" t="str">
        <x:v>Rhetorical Synthesis</x:v>
      </x:c>
      <x:c r="D31" s="26" t="str">
        <x:v>Medium</x:v>
      </x:c>
      <x:c r="E31" s="26" t="str">
        <x:v>Use notes to satisfy a specified rhetorical goal</x:v>
      </x:c>
    </x:row>
  </x:sheetData>
  <x:mergeCells>
    <x:mergeCell ref="A1:E1"/>
    <x:mergeCell ref="A2:E2"/>
  </x:mergeCells>
  <x:conditionalFormatting sqref="D5:D31">
    <x:cfRule type="expression" dxfId="36" priority="1">
      <x:formula>D5="Easy"</x:formula>
    </x:cfRule>
    <x:cfRule type="expression" dxfId="37" priority="2">
      <x:formula>D5="Medium"</x:formula>
    </x:cfRule>
    <x:cfRule type="expression" dxfId="38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a1d60edbce4d7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US Oct24 A EBRW M2 — Pattern Analysis</x:v>
      </x:c>
      <x:c r="B1" s="5"/>
      <x:c r="C1" s="5"/>
      <x:c r="D1" s="5"/>
      <x:c r="E1" s="5"/>
    </x:row>
    <x:row r="2">
      <x:c r="A2" s="12" t="str">
        <x:v>Target difficulty: ≈40% Hard. Domain, Skill/Subtopic, and Pattern are preserved from the source-based classification. Missing source question(s): Q22.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Craft &amp; Structure</x:v>
      </x:c>
      <x:c r="C5" s="26" t="str">
        <x:v>Words in Context</x:v>
      </x:c>
      <x:c r="D5" s="26" t="str">
        <x:v>Easy</x:v>
      </x:c>
      <x:c r="E5" s="26" t="str">
        <x:v>Determine contextual meaning or choose the most precise word/phrase</x:v>
      </x:c>
    </x:row>
    <x:row r="6">
      <x:c r="A6" s="26" t="n">
        <x:v>2</x:v>
      </x:c>
      <x:c r="B6" s="26" t="str">
        <x:v>Craft &amp; Structure</x:v>
      </x:c>
      <x:c r="C6" s="26" t="str">
        <x:v>Words in Context</x:v>
      </x:c>
      <x:c r="D6" s="26" t="str">
        <x:v>Easy</x:v>
      </x:c>
      <x:c r="E6" s="26" t="str">
        <x:v>Determine contextual meaning or choose the most precise word/phrase</x:v>
      </x:c>
    </x:row>
    <x:row r="7">
      <x:c r="A7" s="26" t="n">
        <x:v>3</x:v>
      </x:c>
      <x:c r="B7" s="26" t="str">
        <x:v>Craft &amp; Structure</x:v>
      </x:c>
      <x:c r="C7" s="26" t="str">
        <x:v>Words in Context</x:v>
      </x:c>
      <x:c r="D7" s="26" t="str">
        <x:v>Easy</x:v>
      </x:c>
      <x:c r="E7" s="26" t="str">
        <x:v>Determine contextual meaning or choose the most precise word/phrase</x:v>
      </x:c>
    </x:row>
    <x:row r="8">
      <x:c r="A8" s="26" t="n">
        <x:v>4</x:v>
      </x:c>
      <x:c r="B8" s="26" t="str">
        <x:v>Craft &amp; Structure</x:v>
      </x:c>
      <x:c r="C8" s="26" t="str">
        <x:v>Words in Context</x:v>
      </x:c>
      <x:c r="D8" s="26" t="str">
        <x:v>Easy</x:v>
      </x:c>
      <x:c r="E8" s="26" t="str">
        <x:v>Determine contextual meaning or choose the most precise word/phrase</x:v>
      </x:c>
    </x:row>
    <x:row r="9">
      <x:c r="A9" s="26" t="n">
        <x:v>5</x:v>
      </x:c>
      <x:c r="B9" s="26" t="str">
        <x:v>Craft &amp; Structure</x:v>
      </x:c>
      <x:c r="C9" s="26" t="str">
        <x:v>Words in Context</x:v>
      </x:c>
      <x:c r="D9" s="26" t="str">
        <x:v>Easy</x:v>
      </x:c>
      <x:c r="E9" s="26" t="str">
        <x:v>Determine contextual meaning or choose the most precise word/phrase</x:v>
      </x:c>
    </x:row>
    <x:row r="10">
      <x:c r="A10" s="26" t="n">
        <x:v>6</x:v>
      </x:c>
      <x:c r="B10" s="26" t="str">
        <x:v>Craft &amp; Structure</x:v>
      </x:c>
      <x:c r="C10" s="26" t="str">
        <x:v>Text Structure &amp; Purpose</x:v>
      </x:c>
      <x:c r="D10" s="26" t="str">
        <x:v>Hard</x:v>
      </x:c>
      <x:c r="E10" s="26" t="str">
        <x:v>Analyze the function, purpose, or organization of the text</x:v>
      </x:c>
    </x:row>
    <x:row r="11">
      <x:c r="A11" s="26" t="n">
        <x:v>7</x:v>
      </x:c>
      <x:c r="B11" s="26" t="str">
        <x:v>Craft &amp; Structure</x:v>
      </x:c>
      <x:c r="C11" s="26" t="str">
        <x:v>Text Structure &amp; Purpose</x:v>
      </x:c>
      <x:c r="D11" s="26" t="str">
        <x:v>Hard</x:v>
      </x:c>
      <x:c r="E11" s="26" t="str">
        <x:v>Analyze the function, purpose, or organization of the text</x:v>
      </x:c>
    </x:row>
    <x:row r="12">
      <x:c r="A12" s="26" t="n">
        <x:v>8</x:v>
      </x:c>
      <x:c r="B12" s="26" t="str">
        <x:v>Craft &amp; Structure</x:v>
      </x:c>
      <x:c r="C12" s="26" t="str">
        <x:v>Text Structure &amp; Purpose</x:v>
      </x:c>
      <x:c r="D12" s="26" t="str">
        <x:v>Hard</x:v>
      </x:c>
      <x:c r="E12" s="26" t="str">
        <x:v>Analyze the function, purpose, or organization of the text</x:v>
      </x:c>
    </x:row>
    <x:row r="13">
      <x:c r="A13" s="26" t="n">
        <x:v>9</x:v>
      </x:c>
      <x:c r="B13" s="26" t="str">
        <x:v>Information &amp; Ideas</x:v>
      </x:c>
      <x:c r="C13" s="26" t="str">
        <x:v>Inferences</x:v>
      </x:c>
      <x:c r="D13" s="26" t="str">
        <x:v>Hard</x:v>
      </x:c>
      <x:c r="E13" s="26" t="str">
        <x:v>Draw the conclusion or inference best supported by the text</x:v>
      </x:c>
    </x:row>
    <x:row r="14">
      <x:c r="A14" s="26" t="n">
        <x:v>10</x:v>
      </x:c>
      <x:c r="B14" s="26" t="str">
        <x:v>Information &amp; Ideas</x:v>
      </x:c>
      <x:c r="C14" s="26" t="str">
        <x:v>Inferences</x:v>
      </x:c>
      <x:c r="D14" s="26" t="str">
        <x:v>Hard</x:v>
      </x:c>
      <x:c r="E14" s="26" t="str">
        <x:v>Draw the conclusion or inference best supported by the text</x:v>
      </x:c>
    </x:row>
    <x:row r="15">
      <x:c r="A15" s="26" t="n">
        <x:v>11</x:v>
      </x:c>
      <x:c r="B15" s="26" t="str">
        <x:v>Information &amp; Ideas</x:v>
      </x:c>
      <x:c r="C15" s="26" t="str">
        <x:v>Inferences</x:v>
      </x:c>
      <x:c r="D15" s="26" t="str">
        <x:v>Hard</x:v>
      </x:c>
      <x:c r="E15" s="26" t="str">
        <x:v>Draw the conclusion or inference best supported by the text</x:v>
      </x:c>
    </x:row>
    <x:row r="16">
      <x:c r="A16" s="26" t="n">
        <x:v>12</x:v>
      </x:c>
      <x:c r="B16" s="26" t="str">
        <x:v>Information &amp; Ideas</x:v>
      </x:c>
      <x:c r="C16" s="26" t="str">
        <x:v>Inferences</x:v>
      </x:c>
      <x:c r="D16" s="26" t="str">
        <x:v>Hard</x:v>
      </x:c>
      <x:c r="E16" s="26" t="str">
        <x:v>Draw the conclusion or inference best supported by the text</x:v>
      </x:c>
    </x:row>
    <x:row r="17">
      <x:c r="A17" s="26" t="n">
        <x:v>13</x:v>
      </x:c>
      <x:c r="B17" s="26" t="str">
        <x:v>Information &amp; Ideas</x:v>
      </x:c>
      <x:c r="C17" s="26" t="str">
        <x:v>Inferences</x:v>
      </x:c>
      <x:c r="D17" s="26" t="str">
        <x:v>Hard</x:v>
      </x:c>
      <x:c r="E17" s="26" t="str">
        <x:v>Draw the conclusion or inference best supported by the text</x:v>
      </x:c>
    </x:row>
    <x:row r="18">
      <x:c r="A18" s="26" t="n">
        <x:v>14</x:v>
      </x:c>
      <x:c r="B18" s="26" t="str">
        <x:v>Information &amp; Ideas</x:v>
      </x:c>
      <x:c r="C18" s="26" t="str">
        <x:v>Inferences</x:v>
      </x:c>
      <x:c r="D18" s="26" t="str">
        <x:v>Hard</x:v>
      </x:c>
      <x:c r="E18" s="26" t="str">
        <x:v>Draw the conclusion or inference best supported by the text</x:v>
      </x:c>
    </x:row>
    <x:row r="19">
      <x:c r="A19" s="26" t="n">
        <x:v>15</x:v>
      </x:c>
      <x:c r="B19" s="26" t="str">
        <x:v>Information &amp; Ideas</x:v>
      </x:c>
      <x:c r="C19" s="26" t="str">
        <x:v>Inferences</x:v>
      </x:c>
      <x:c r="D19" s="26" t="str">
        <x:v>Hard</x:v>
      </x:c>
      <x:c r="E19" s="26" t="str">
        <x:v>Draw the conclusion or inference best supported by the text</x:v>
      </x:c>
    </x:row>
    <x:row r="20">
      <x:c r="A20" s="26" t="n">
        <x:v>16</x:v>
      </x:c>
      <x:c r="B20" s="26" t="str">
        <x:v>Standard English Conventions</x:v>
      </x:c>
      <x:c r="C20" s="26" t="str">
        <x:v>Form, Structure &amp; Sense</x:v>
      </x:c>
      <x:c r="D20" s="26" t="str">
        <x:v>Medium</x:v>
      </x:c>
      <x:c r="E20" s="26" t="str">
        <x:v>Apply grammar, agreement, verb-form, pronoun, or modifier conventions</x:v>
      </x:c>
    </x:row>
    <x:row r="21">
      <x:c r="A21" s="26" t="n">
        <x:v>17</x:v>
      </x:c>
      <x:c r="B21" s="26" t="str">
        <x:v>Standard English Conventions</x:v>
      </x:c>
      <x:c r="C21" s="26" t="str">
        <x:v>Form, Structure &amp; Sense</x:v>
      </x:c>
      <x:c r="D21" s="26" t="str">
        <x:v>Medium</x:v>
      </x:c>
      <x:c r="E21" s="26" t="str">
        <x:v>Apply grammar, agreement, verb-form, pronoun, or modifier conventions</x:v>
      </x:c>
    </x:row>
    <x:row r="22">
      <x:c r="A22" s="26" t="n">
        <x:v>18</x:v>
      </x:c>
      <x:c r="B22" s="26" t="str">
        <x:v>Standard English Conventions</x:v>
      </x:c>
      <x:c r="C22" s="26" t="str">
        <x:v>Form, Structure &amp; Sense</x:v>
      </x:c>
      <x:c r="D22" s="26" t="str">
        <x:v>Medium</x:v>
      </x:c>
      <x:c r="E22" s="26" t="str">
        <x:v>Apply grammar, agreement, verb-form, pronoun, or modifier conventions</x:v>
      </x:c>
    </x:row>
    <x:row r="23">
      <x:c r="A23" s="26" t="n">
        <x:v>19</x:v>
      </x:c>
      <x:c r="B23" s="26" t="str">
        <x:v>Standard English Conventions</x:v>
      </x:c>
      <x:c r="C23" s="26" t="str">
        <x:v>Form, Structure &amp; Sense</x:v>
      </x:c>
      <x:c r="D23" s="26" t="str">
        <x:v>Medium</x:v>
      </x:c>
      <x:c r="E23" s="26" t="str">
        <x:v>Apply grammar, agreement, verb-form, pronoun, or modifier conventions</x:v>
      </x:c>
    </x:row>
    <x:row r="24">
      <x:c r="A24" s="26" t="n">
        <x:v>20</x:v>
      </x:c>
      <x:c r="B24" s="26" t="str">
        <x:v>Standard English Conventions</x:v>
      </x:c>
      <x:c r="C24" s="26" t="str">
        <x:v>Form, Structure &amp; Sense</x:v>
      </x:c>
      <x:c r="D24" s="26" t="str">
        <x:v>Medium</x:v>
      </x:c>
      <x:c r="E24" s="26" t="str">
        <x:v>Apply grammar, agreement, verb-form, pronoun, or modifier conventions</x:v>
      </x:c>
    </x:row>
    <x:row r="25">
      <x:c r="A25" s="26" t="n">
        <x:v>21</x:v>
      </x:c>
      <x:c r="B25" s="26" t="str">
        <x:v>Expression of Ideas</x:v>
      </x:c>
      <x:c r="C25" s="26" t="str">
        <x:v>Transitions</x:v>
      </x:c>
      <x:c r="D25" s="26" t="str">
        <x:v>Easy</x:v>
      </x:c>
      <x:c r="E25" s="26" t="str">
        <x:v>Choose the transition that best expresses the logical relationship</x:v>
      </x:c>
    </x:row>
    <x:row r="26">
      <x:c r="A26" s="26" t="n">
        <x:v>22</x:v>
      </x:c>
      <x:c r="B26" s="26" t="str">
        <x:v>—</x:v>
      </x:c>
      <x:c r="C26" s="26" t="str">
        <x:v>Not present in source</x:v>
      </x:c>
      <x:c r="D26" s="26" t="str">
        <x:v>—</x:v>
      </x:c>
      <x:c r="E26" s="26" t="str">
        <x:v>Missing from PDF</x:v>
      </x:c>
    </x:row>
    <x:row r="27">
      <x:c r="A27" s="26" t="n">
        <x:v>23</x:v>
      </x:c>
      <x:c r="B27" s="26" t="str">
        <x:v>Expression of Ideas</x:v>
      </x:c>
      <x:c r="C27" s="26" t="str">
        <x:v>Transitions</x:v>
      </x:c>
      <x:c r="D27" s="26" t="str">
        <x:v>Easy</x:v>
      </x:c>
      <x:c r="E27" s="26" t="str">
        <x:v>Choose the transition that best expresses the logical relationship</x:v>
      </x:c>
    </x:row>
    <x:row r="28">
      <x:c r="A28" s="26" t="n">
        <x:v>24</x:v>
      </x:c>
      <x:c r="B28" s="26" t="str">
        <x:v>Expression of Ideas</x:v>
      </x:c>
      <x:c r="C28" s="26" t="str">
        <x:v>Rhetorical Synthesis</x:v>
      </x:c>
      <x:c r="D28" s="26" t="str">
        <x:v>Easy</x:v>
      </x:c>
      <x:c r="E28" s="26" t="str">
        <x:v>Use notes to satisfy a specified rhetorical goal</x:v>
      </x:c>
    </x:row>
    <x:row r="29">
      <x:c r="A29" s="26" t="n">
        <x:v>25</x:v>
      </x:c>
      <x:c r="B29" s="26" t="str">
        <x:v>Expression of Ideas</x:v>
      </x:c>
      <x:c r="C29" s="26" t="str">
        <x:v>Rhetorical Synthesis</x:v>
      </x:c>
      <x:c r="D29" s="26" t="str">
        <x:v>Medium</x:v>
      </x:c>
      <x:c r="E29" s="26" t="str">
        <x:v>Use notes to satisfy a specified rhetorical goal</x:v>
      </x:c>
    </x:row>
    <x:row r="30">
      <x:c r="A30" s="26" t="n">
        <x:v>26</x:v>
      </x:c>
      <x:c r="B30" s="26" t="str">
        <x:v>Expression of Ideas</x:v>
      </x:c>
      <x:c r="C30" s="26" t="str">
        <x:v>Rhetorical Synthesis</x:v>
      </x:c>
      <x:c r="D30" s="26" t="str">
        <x:v>Medium</x:v>
      </x:c>
      <x:c r="E30" s="26" t="str">
        <x:v>Use notes to satisfy a specified rhetorical goal</x:v>
      </x:c>
    </x:row>
    <x:row r="31">
      <x:c r="A31" s="26" t="n">
        <x:v>27</x:v>
      </x:c>
      <x:c r="B31" s="26" t="str">
        <x:v>Expression of Ideas</x:v>
      </x:c>
      <x:c r="C31" s="26" t="str">
        <x:v>Rhetorical Synthesis</x:v>
      </x:c>
      <x:c r="D31" s="26" t="str">
        <x:v>Medium</x:v>
      </x:c>
      <x:c r="E31" s="26" t="str">
        <x:v>Use notes to satisfy a specified rhetorical goal</x:v>
      </x:c>
    </x:row>
  </x:sheetData>
  <x:mergeCells>
    <x:mergeCell ref="A1:E1"/>
    <x:mergeCell ref="A2:E2"/>
  </x:mergeCells>
  <x:conditionalFormatting sqref="D5:D31">
    <x:cfRule type="expression" dxfId="39" priority="1">
      <x:formula>D5="Easy"</x:formula>
    </x:cfRule>
    <x:cfRule type="expression" dxfId="40" priority="2">
      <x:formula>D5="Medium"</x:formula>
    </x:cfRule>
    <x:cfRule type="expression" dxfId="41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8d2322459b4e2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US Oct24 A Math M1 — Pattern Analysis</x:v>
      </x:c>
      <x:c r="B1" s="5"/>
      <x:c r="C1" s="5"/>
      <x:c r="D1" s="5"/>
      <x:c r="E1" s="5"/>
    </x:row>
    <x:row r="2">
      <x:c r="A2" s="12" t="str">
        <x:v>Target difficulty: ≈40%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Algebra</x:v>
      </x:c>
      <x:c r="C5" s="26" t="str">
        <x:v>Linear Equations in One Variable</x:v>
      </x:c>
      <x:c r="D5" s="26" t="str">
        <x:v>Easy</x:v>
      </x:c>
      <x:c r="E5" s="26" t="str">
        <x:v>Solve or interpret a linear equation in one variable</x:v>
      </x:c>
    </x:row>
    <x:row r="6">
      <x:c r="A6" s="26" t="n">
        <x:v>2</x:v>
      </x:c>
      <x:c r="B6" s="26" t="str">
        <x:v>Advanced Math</x:v>
      </x:c>
      <x:c r="C6" s="26" t="str">
        <x:v>Nonlinear Functions</x:v>
      </x:c>
      <x:c r="D6" s="26" t="str">
        <x:v>Hard</x:v>
      </x:c>
      <x:c r="E6" s="26" t="str">
        <x:v>Evaluate, model, transform, or interpret a quadratic, exponential, or rational function</x:v>
      </x:c>
    </x:row>
    <x:row r="7">
      <x:c r="A7" s="26" t="n">
        <x:v>3</x:v>
      </x:c>
      <x:c r="B7" s="26" t="str">
        <x:v>Problem-Solving &amp; Data Analysis</x:v>
      </x:c>
      <x:c r="C7" s="26" t="str">
        <x:v>Ratios, Rates, Proportions &amp; Units</x:v>
      </x:c>
      <x:c r="D7" s="26" t="str">
        <x:v>Easy</x:v>
      </x:c>
      <x:c r="E7" s="26" t="str">
        <x:v>Use ratios, rates, proportions, density, or unit conversions</x:v>
      </x:c>
    </x:row>
    <x:row r="8">
      <x:c r="A8" s="26" t="n">
        <x:v>4</x:v>
      </x:c>
      <x:c r="B8" s="26" t="str">
        <x:v>Advanced Math</x:v>
      </x:c>
      <x:c r="C8" s="26" t="str">
        <x:v>Equivalent Expressions</x:v>
      </x:c>
      <x:c r="D8" s="26" t="str">
        <x:v>Hard</x:v>
      </x:c>
      <x:c r="E8" s="26" t="str">
        <x:v>Rewrite, factor, expand, or compare equivalent expressions</x:v>
      </x:c>
    </x:row>
    <x:row r="9">
      <x:c r="A9" s="26" t="n">
        <x:v>5</x:v>
      </x:c>
      <x:c r="B9" s="26" t="str">
        <x:v>Advanced Math</x:v>
      </x:c>
      <x:c r="C9" s="26" t="str">
        <x:v>Equivalent Expressions</x:v>
      </x:c>
      <x:c r="D9" s="26" t="str">
        <x:v>Hard</x:v>
      </x:c>
      <x:c r="E9" s="26" t="str">
        <x:v>Rewrite, factor, expand, or compare equivalent expressions</x:v>
      </x:c>
    </x:row>
    <x:row r="10">
      <x:c r="A10" s="26" t="n">
        <x:v>6</x:v>
      </x:c>
      <x:c r="B10" s="26" t="str">
        <x:v>Geometry &amp; Trigonometry</x:v>
      </x:c>
      <x:c r="C10" s="26" t="str">
        <x:v>Lines, Angles &amp; Triangles</x:v>
      </x:c>
      <x:c r="D10" s="26" t="str">
        <x:v>Medium</x:v>
      </x:c>
      <x:c r="E10" s="26" t="str">
        <x:v>Use angle, triangle, congruence, similarity, or line relationships</x:v>
      </x:c>
    </x:row>
    <x:row r="11">
      <x:c r="A11" s="26" t="n">
        <x:v>7</x:v>
      </x:c>
      <x:c r="B11" s="26" t="str">
        <x:v>Problem-Solving &amp; Data Analysis</x:v>
      </x:c>
      <x:c r="C11" s="26" t="str">
        <x:v>Ratios, Rates, Proportions &amp; Units</x:v>
      </x:c>
      <x:c r="D11" s="26" t="str">
        <x:v>Medium</x:v>
      </x:c>
      <x:c r="E11" s="26" t="str">
        <x:v>Use ratios, rates, proportions, density, or unit conversions</x:v>
      </x:c>
    </x:row>
    <x:row r="12">
      <x:c r="A12" s="26" t="n">
        <x:v>8</x:v>
      </x:c>
      <x:c r="B12" s="26" t="str">
        <x:v>Algebra</x:v>
      </x:c>
      <x:c r="C12" s="26" t="str">
        <x:v>Linear Functions</x:v>
      </x:c>
      <x:c r="D12" s="26" t="str">
        <x:v>Easy</x:v>
      </x:c>
      <x:c r="E12" s="26" t="str">
        <x:v>Determine, evaluate, or interpret slope, intercepts, or a linear function</x:v>
      </x:c>
    </x:row>
    <x:row r="13">
      <x:c r="A13" s="26" t="n">
        <x:v>9</x:v>
      </x:c>
      <x:c r="B13" s="26" t="str">
        <x:v>Algebra</x:v>
      </x:c>
      <x:c r="C13" s="26" t="str">
        <x:v>Linear Functions</x:v>
      </x:c>
      <x:c r="D13" s="26" t="str">
        <x:v>Easy</x:v>
      </x:c>
      <x:c r="E13" s="26" t="str">
        <x:v>Determine, evaluate, or interpret slope, intercepts, or a linear function</x:v>
      </x:c>
    </x:row>
    <x:row r="14">
      <x:c r="A14" s="26" t="n">
        <x:v>10</x:v>
      </x:c>
      <x:c r="B14" s="26" t="str">
        <x:v>Algebra</x:v>
      </x:c>
      <x:c r="C14" s="26" t="str">
        <x:v>Linear Equations in One Variable</x:v>
      </x:c>
      <x:c r="D14" s="26" t="str">
        <x:v>Easy</x:v>
      </x:c>
      <x:c r="E14" s="26" t="str">
        <x:v>Solve or interpret a linear equation in one variable</x:v>
      </x:c>
    </x:row>
    <x:row r="15">
      <x:c r="A15" s="26" t="n">
        <x:v>11</x:v>
      </x:c>
      <x:c r="B15" s="26" t="str">
        <x:v>Advanced Math</x:v>
      </x:c>
      <x:c r="C15" s="26" t="str">
        <x:v>Nonlinear Functions</x:v>
      </x:c>
      <x:c r="D15" s="26" t="str">
        <x:v>Hard</x:v>
      </x:c>
      <x:c r="E15" s="26" t="str">
        <x:v>Evaluate, model, transform, or interpret a quadratic, exponential, or rational function</x:v>
      </x:c>
    </x:row>
    <x:row r="16">
      <x:c r="A16" s="26" t="n">
        <x:v>12</x:v>
      </x:c>
      <x:c r="B16" s="26" t="str">
        <x:v>Algebra</x:v>
      </x:c>
      <x:c r="C16" s="26" t="str">
        <x:v>Linear Functions</x:v>
      </x:c>
      <x:c r="D16" s="26" t="str">
        <x:v>Easy</x:v>
      </x:c>
      <x:c r="E16" s="26" t="str">
        <x:v>Determine, evaluate, or interpret slope, intercepts, or a linear function</x:v>
      </x:c>
    </x:row>
    <x:row r="17">
      <x:c r="A17" s="26" t="n">
        <x:v>13</x:v>
      </x:c>
      <x:c r="B17" s="26" t="str">
        <x:v>Problem-Solving &amp; Data Analysis</x:v>
      </x:c>
      <x:c r="C17" s="26" t="str">
        <x:v>Inference / Margin of Error</x:v>
      </x:c>
      <x:c r="D17" s="26" t="str">
        <x:v>Medium</x:v>
      </x:c>
      <x:c r="E17" s="26" t="str">
        <x:v>Reason about random samples, estimates, or margin of error</x:v>
      </x:c>
    </x:row>
    <x:row r="18">
      <x:c r="A18" s="26" t="n">
        <x:v>14</x:v>
      </x:c>
      <x:c r="B18" s="26" t="str">
        <x:v>Geometry &amp; Trigonometry</x:v>
      </x:c>
      <x:c r="C18" s="26" t="str">
        <x:v>Area &amp; Volume</x:v>
      </x:c>
      <x:c r="D18" s="26" t="str">
        <x:v>Medium</x:v>
      </x:c>
      <x:c r="E18" s="26" t="str">
        <x:v>Apply area, surface-area, or volume relationships</x:v>
      </x:c>
    </x:row>
    <x:row r="19">
      <x:c r="A19" s="26" t="n">
        <x:v>15</x:v>
      </x:c>
      <x:c r="B19" s="26" t="str">
        <x:v>Algebra</x:v>
      </x:c>
      <x:c r="C19" s="26" t="str">
        <x:v>Linear Equations in One Variable</x:v>
      </x:c>
      <x:c r="D19" s="26" t="str">
        <x:v>Easy</x:v>
      </x:c>
      <x:c r="E19" s="26" t="str">
        <x:v>Solve or interpret a linear equation in one variable</x:v>
      </x:c>
    </x:row>
    <x:row r="20">
      <x:c r="A20" s="26" t="n">
        <x:v>16</x:v>
      </x:c>
      <x:c r="B20" s="26" t="str">
        <x:v>Advanced Math</x:v>
      </x:c>
      <x:c r="C20" s="26" t="str">
        <x:v>Nonlinear Functions</x:v>
      </x:c>
      <x:c r="D20" s="26" t="str">
        <x:v>Hard</x:v>
      </x:c>
      <x:c r="E20" s="26" t="str">
        <x:v>Evaluate, model, transform, or interpret a quadratic, exponential, or rational function</x:v>
      </x:c>
    </x:row>
    <x:row r="21">
      <x:c r="A21" s="26" t="n">
        <x:v>17</x:v>
      </x:c>
      <x:c r="B21" s="26" t="str">
        <x:v>Advanced Math</x:v>
      </x:c>
      <x:c r="C21" s="26" t="str">
        <x:v>Nonlinear Equations</x:v>
      </x:c>
      <x:c r="D21" s="26" t="str">
        <x:v>Hard</x:v>
      </x:c>
      <x:c r="E21" s="26" t="str">
        <x:v>Solve or analyze a quadratic, absolute-value, or other nonlinear equation/system</x:v>
      </x:c>
    </x:row>
    <x:row r="22">
      <x:c r="A22" s="26" t="n">
        <x:v>18</x:v>
      </x:c>
      <x:c r="B22" s="26" t="str">
        <x:v>Algebra</x:v>
      </x:c>
      <x:c r="C22" s="26" t="str">
        <x:v>Linear Functions</x:v>
      </x:c>
      <x:c r="D22" s="26" t="str">
        <x:v>Medium</x:v>
      </x:c>
      <x:c r="E22" s="26" t="str">
        <x:v>Determine, evaluate, or interpret slope, intercepts, or a linear function</x:v>
      </x:c>
    </x:row>
    <x:row r="23">
      <x:c r="A23" s="26" t="n">
        <x:v>19</x:v>
      </x:c>
      <x:c r="B23" s="26" t="str">
        <x:v>Problem-Solving &amp; Data Analysis</x:v>
      </x:c>
      <x:c r="C23" s="26" t="str">
        <x:v>Two-Variable Data &amp; Models</x:v>
      </x:c>
      <x:c r="D23" s="26" t="str">
        <x:v>Medium</x:v>
      </x:c>
      <x:c r="E23" s="26" t="str">
        <x:v>Interpret a scatterplot, line of best fit, or relationship between two variables</x:v>
      </x:c>
    </x:row>
    <x:row r="24">
      <x:c r="A24" s="26" t="n">
        <x:v>20</x:v>
      </x:c>
      <x:c r="B24" s="26" t="str">
        <x:v>Advanced Math</x:v>
      </x:c>
      <x:c r="C24" s="26" t="str">
        <x:v>Nonlinear Functions</x:v>
      </x:c>
      <x:c r="D24" s="26" t="str">
        <x:v>Hard</x:v>
      </x:c>
      <x:c r="E24" s="26" t="str">
        <x:v>Evaluate, model, transform, or interpret a quadratic, exponential, or rational function</x:v>
      </x:c>
    </x:row>
    <x:row r="25">
      <x:c r="A25" s="26" t="n">
        <x:v>21</x:v>
      </x:c>
      <x:c r="B25" s="26" t="str">
        <x:v>Geometry &amp; Trigonometry</x:v>
      </x:c>
      <x:c r="C25" s="26" t="str">
        <x:v>Circles</x:v>
      </x:c>
      <x:c r="D25" s="26" t="str">
        <x:v>Hard</x:v>
      </x:c>
      <x:c r="E25" s="26" t="str">
        <x:v>Use circle equations, radius/diameter, chords, or circumference/area</x:v>
      </x:c>
    </x:row>
    <x:row r="26">
      <x:c r="A26" s="26" t="n">
        <x:v>22</x:v>
      </x:c>
      <x:c r="B26" s="26" t="str">
        <x:v>Geometry &amp; Trigonometry</x:v>
      </x:c>
      <x:c r="C26" s="26" t="str">
        <x:v>Right Triangles &amp; Trigonometry</x:v>
      </x:c>
      <x:c r="D26" s="26" t="str">
        <x:v>Hard</x:v>
      </x:c>
      <x:c r="E26" s="26" t="str">
        <x:v>Use right-triangle relationships or trigonometric ratios</x:v>
      </x:c>
    </x:row>
  </x:sheetData>
  <x:mergeCells>
    <x:mergeCell ref="A1:E1"/>
    <x:mergeCell ref="A2:E2"/>
  </x:mergeCells>
  <x:conditionalFormatting sqref="D5:D26">
    <x:cfRule type="expression" dxfId="42" priority="1">
      <x:formula>D5="Easy"</x:formula>
    </x:cfRule>
    <x:cfRule type="expression" dxfId="43" priority="2">
      <x:formula>D5="Medium"</x:formula>
    </x:cfRule>
    <x:cfRule type="expression" dxfId="44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5deffde0f64f2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US Oct24 A Math M2 — Pattern Analysis</x:v>
      </x:c>
      <x:c r="B1" s="5"/>
      <x:c r="C1" s="5"/>
      <x:c r="D1" s="5"/>
      <x:c r="E1" s="5"/>
    </x:row>
    <x:row r="2">
      <x:c r="A2" s="12" t="str">
        <x:v>Target difficulty: ≈60%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Algebra</x:v>
      </x:c>
      <x:c r="C5" s="26" t="str">
        <x:v>Linear Functions</x:v>
      </x:c>
      <x:c r="D5" s="26" t="str">
        <x:v>Easy</x:v>
      </x:c>
      <x:c r="E5" s="26" t="str">
        <x:v>Determine, evaluate, or interpret slope, intercepts, or a linear function</x:v>
      </x:c>
    </x:row>
    <x:row r="6">
      <x:c r="A6" s="26" t="n">
        <x:v>2</x:v>
      </x:c>
      <x:c r="B6" s="26" t="str">
        <x:v>Algebra</x:v>
      </x:c>
      <x:c r="C6" s="26" t="str">
        <x:v>Linear Equations in One Variable</x:v>
      </x:c>
      <x:c r="D6" s="26" t="str">
        <x:v>Easy</x:v>
      </x:c>
      <x:c r="E6" s="26" t="str">
        <x:v>Solve or interpret a linear equation in one variable</x:v>
      </x:c>
    </x:row>
    <x:row r="7">
      <x:c r="A7" s="26" t="n">
        <x:v>3</x:v>
      </x:c>
      <x:c r="B7" s="26" t="str">
        <x:v>Algebra</x:v>
      </x:c>
      <x:c r="C7" s="26" t="str">
        <x:v>Linear Equations in One Variable</x:v>
      </x:c>
      <x:c r="D7" s="26" t="str">
        <x:v>Easy</x:v>
      </x:c>
      <x:c r="E7" s="26" t="str">
        <x:v>Solve or interpret a linear equation in one variable</x:v>
      </x:c>
    </x:row>
    <x:row r="8">
      <x:c r="A8" s="26" t="n">
        <x:v>4</x:v>
      </x:c>
      <x:c r="B8" s="26" t="str">
        <x:v>Algebra</x:v>
      </x:c>
      <x:c r="C8" s="26" t="str">
        <x:v>Systems of Two Linear Equations</x:v>
      </x:c>
      <x:c r="D8" s="26" t="str">
        <x:v>Hard</x:v>
      </x:c>
      <x:c r="E8" s="26" t="str">
        <x:v>Solve or analyze a system of two linear equations</x:v>
      </x:c>
    </x:row>
    <x:row r="9">
      <x:c r="A9" s="26" t="n">
        <x:v>5</x:v>
      </x:c>
      <x:c r="B9" s="26" t="str">
        <x:v>Problem-Solving &amp; Data Analysis</x:v>
      </x:c>
      <x:c r="C9" s="26" t="str">
        <x:v>Ratios, Rates, Proportions &amp; Units</x:v>
      </x:c>
      <x:c r="D9" s="26" t="str">
        <x:v>Easy</x:v>
      </x:c>
      <x:c r="E9" s="26" t="str">
        <x:v>Use ratios, rates, proportions, density, or unit conversions</x:v>
      </x:c>
    </x:row>
    <x:row r="10">
      <x:c r="A10" s="26" t="n">
        <x:v>6</x:v>
      </x:c>
      <x:c r="B10" s="26" t="str">
        <x:v>Advanced Math</x:v>
      </x:c>
      <x:c r="C10" s="26" t="str">
        <x:v>Nonlinear Functions</x:v>
      </x:c>
      <x:c r="D10" s="26" t="str">
        <x:v>Hard</x:v>
      </x:c>
      <x:c r="E10" s="26" t="str">
        <x:v>Evaluate, model, transform, or interpret a quadratic, exponential, or rational function</x:v>
      </x:c>
    </x:row>
    <x:row r="11">
      <x:c r="A11" s="26" t="n">
        <x:v>7</x:v>
      </x:c>
      <x:c r="B11" s="26" t="str">
        <x:v>Advanced Math</x:v>
      </x:c>
      <x:c r="C11" s="26" t="str">
        <x:v>Nonlinear Functions</x:v>
      </x:c>
      <x:c r="D11" s="26" t="str">
        <x:v>Hard</x:v>
      </x:c>
      <x:c r="E11" s="26" t="str">
        <x:v>Evaluate, model, transform, or interpret a quadratic, exponential, or rational function</x:v>
      </x:c>
    </x:row>
    <x:row r="12">
      <x:c r="A12" s="26" t="n">
        <x:v>8</x:v>
      </x:c>
      <x:c r="B12" s="26" t="str">
        <x:v>Advanced Math</x:v>
      </x:c>
      <x:c r="C12" s="26" t="str">
        <x:v>Nonlinear Equations</x:v>
      </x:c>
      <x:c r="D12" s="26" t="str">
        <x:v>Hard</x:v>
      </x:c>
      <x:c r="E12" s="26" t="str">
        <x:v>Solve or analyze a quadratic, absolute-value, or other nonlinear equation/system</x:v>
      </x:c>
    </x:row>
    <x:row r="13">
      <x:c r="A13" s="26" t="n">
        <x:v>9</x:v>
      </x:c>
      <x:c r="B13" s="26" t="str">
        <x:v>Advanced Math</x:v>
      </x:c>
      <x:c r="C13" s="26" t="str">
        <x:v>Nonlinear Functions</x:v>
      </x:c>
      <x:c r="D13" s="26" t="str">
        <x:v>Hard</x:v>
      </x:c>
      <x:c r="E13" s="26" t="str">
        <x:v>Evaluate, model, transform, or interpret a quadratic, exponential, or rational function</x:v>
      </x:c>
    </x:row>
    <x:row r="14">
      <x:c r="A14" s="26" t="n">
        <x:v>10</x:v>
      </x:c>
      <x:c r="B14" s="26" t="str">
        <x:v>Problem-Solving &amp; Data Analysis</x:v>
      </x:c>
      <x:c r="C14" s="26" t="str">
        <x:v>Two-Variable Data &amp; Models</x:v>
      </x:c>
      <x:c r="D14" s="26" t="str">
        <x:v>Hard</x:v>
      </x:c>
      <x:c r="E14" s="26" t="str">
        <x:v>Interpret a scatterplot, line of best fit, or relationship between two variables</x:v>
      </x:c>
    </x:row>
    <x:row r="15">
      <x:c r="A15" s="26" t="n">
        <x:v>11</x:v>
      </x:c>
      <x:c r="B15" s="26" t="str">
        <x:v>Advanced Math</x:v>
      </x:c>
      <x:c r="C15" s="26" t="str">
        <x:v>Nonlinear Equations</x:v>
      </x:c>
      <x:c r="D15" s="26" t="str">
        <x:v>Hard</x:v>
      </x:c>
      <x:c r="E15" s="26" t="str">
        <x:v>Solve or analyze a quadratic, absolute-value, or other nonlinear equation/system</x:v>
      </x:c>
    </x:row>
    <x:row r="16">
      <x:c r="A16" s="26" t="n">
        <x:v>12</x:v>
      </x:c>
      <x:c r="B16" s="26" t="str">
        <x:v>Problem-Solving &amp; Data Analysis</x:v>
      </x:c>
      <x:c r="C16" s="26" t="str">
        <x:v>One-Variable Data</x:v>
      </x:c>
      <x:c r="D16" s="26" t="str">
        <x:v>Easy</x:v>
      </x:c>
      <x:c r="E16" s="26" t="str">
        <x:v>Analyze a one-variable data set, distribution, mean, median, or range</x:v>
      </x:c>
    </x:row>
    <x:row r="17">
      <x:c r="A17" s="26" t="n">
        <x:v>13</x:v>
      </x:c>
      <x:c r="B17" s="26" t="str">
        <x:v>Geometry &amp; Trigonometry</x:v>
      </x:c>
      <x:c r="C17" s="26" t="str">
        <x:v>Lines, Angles &amp; Triangles</x:v>
      </x:c>
      <x:c r="D17" s="26" t="str">
        <x:v>Hard</x:v>
      </x:c>
      <x:c r="E17" s="26" t="str">
        <x:v>Use angle, triangle, congruence, similarity, or line relationships</x:v>
      </x:c>
    </x:row>
    <x:row r="18">
      <x:c r="A18" s="26" t="n">
        <x:v>14</x:v>
      </x:c>
      <x:c r="B18" s="26" t="str">
        <x:v>Problem-Solving &amp; Data Analysis</x:v>
      </x:c>
      <x:c r="C18" s="26" t="str">
        <x:v>Percentages</x:v>
      </x:c>
      <x:c r="D18" s="26" t="str">
        <x:v>Medium</x:v>
      </x:c>
      <x:c r="E18" s="26" t="str">
        <x:v>Solve a percent, percent-change, or part-whole problem</x:v>
      </x:c>
    </x:row>
    <x:row r="19">
      <x:c r="A19" s="26" t="n">
        <x:v>15</x:v>
      </x:c>
      <x:c r="B19" s="26" t="str">
        <x:v>Advanced Math</x:v>
      </x:c>
      <x:c r="C19" s="26" t="str">
        <x:v>Nonlinear Functions</x:v>
      </x:c>
      <x:c r="D19" s="26" t="str">
        <x:v>Hard</x:v>
      </x:c>
      <x:c r="E19" s="26" t="str">
        <x:v>Evaluate, model, transform, or interpret a quadratic, exponential, or rational function</x:v>
      </x:c>
    </x:row>
    <x:row r="20">
      <x:c r="A20" s="26" t="n">
        <x:v>16</x:v>
      </x:c>
      <x:c r="B20" s="26" t="str">
        <x:v>Advanced Math</x:v>
      </x:c>
      <x:c r="C20" s="26" t="str">
        <x:v>Nonlinear Functions</x:v>
      </x:c>
      <x:c r="D20" s="26" t="str">
        <x:v>Hard</x:v>
      </x:c>
      <x:c r="E20" s="26" t="str">
        <x:v>Evaluate, model, transform, or interpret a quadratic, exponential, or rational function</x:v>
      </x:c>
    </x:row>
    <x:row r="21">
      <x:c r="A21" s="26" t="n">
        <x:v>17</x:v>
      </x:c>
      <x:c r="B21" s="26" t="str">
        <x:v>Algebra</x:v>
      </x:c>
      <x:c r="C21" s="26" t="str">
        <x:v>Linear Functions</x:v>
      </x:c>
      <x:c r="D21" s="26" t="str">
        <x:v>Medium</x:v>
      </x:c>
      <x:c r="E21" s="26" t="str">
        <x:v>Determine, evaluate, or interpret slope, intercepts, or a linear function</x:v>
      </x:c>
    </x:row>
    <x:row r="22">
      <x:c r="A22" s="26" t="n">
        <x:v>18</x:v>
      </x:c>
      <x:c r="B22" s="26" t="str">
        <x:v>Advanced Math</x:v>
      </x:c>
      <x:c r="C22" s="26" t="str">
        <x:v>Nonlinear Functions</x:v>
      </x:c>
      <x:c r="D22" s="26" t="str">
        <x:v>Hard</x:v>
      </x:c>
      <x:c r="E22" s="26" t="str">
        <x:v>Evaluate, model, transform, or interpret a quadratic, exponential, or rational function</x:v>
      </x:c>
    </x:row>
    <x:row r="23">
      <x:c r="A23" s="26" t="n">
        <x:v>19</x:v>
      </x:c>
      <x:c r="B23" s="26" t="str">
        <x:v>Algebra</x:v>
      </x:c>
      <x:c r="C23" s="26" t="str">
        <x:v>Linear Functions</x:v>
      </x:c>
      <x:c r="D23" s="26" t="str">
        <x:v>Medium</x:v>
      </x:c>
      <x:c r="E23" s="26" t="str">
        <x:v>Determine, evaluate, or interpret slope, intercepts, or a linear function</x:v>
      </x:c>
    </x:row>
    <x:row r="24">
      <x:c r="A24" s="26" t="n">
        <x:v>20</x:v>
      </x:c>
      <x:c r="B24" s="26" t="str">
        <x:v>Geometry &amp; Trigonometry</x:v>
      </x:c>
      <x:c r="C24" s="26" t="str">
        <x:v>Right Triangles &amp; Trigonometry</x:v>
      </x:c>
      <x:c r="D24" s="26" t="str">
        <x:v>Hard</x:v>
      </x:c>
      <x:c r="E24" s="26" t="str">
        <x:v>Use right-triangle relationships or trigonometric ratios</x:v>
      </x:c>
    </x:row>
    <x:row r="25">
      <x:c r="A25" s="26" t="n">
        <x:v>21</x:v>
      </x:c>
      <x:c r="B25" s="26" t="str">
        <x:v>Algebra</x:v>
      </x:c>
      <x:c r="C25" s="26" t="str">
        <x:v>Linear Functions</x:v>
      </x:c>
      <x:c r="D25" s="26" t="str">
        <x:v>Medium</x:v>
      </x:c>
      <x:c r="E25" s="26" t="str">
        <x:v>Determine, evaluate, or interpret slope, intercepts, or a linear function</x:v>
      </x:c>
    </x:row>
    <x:row r="26">
      <x:c r="A26" s="26" t="n">
        <x:v>22</x:v>
      </x:c>
      <x:c r="B26" s="26" t="str">
        <x:v>Geometry &amp; Trigonometry</x:v>
      </x:c>
      <x:c r="C26" s="26" t="str">
        <x:v>Circles</x:v>
      </x:c>
      <x:c r="D26" s="26" t="str">
        <x:v>Hard</x:v>
      </x:c>
      <x:c r="E26" s="26" t="str">
        <x:v>Use circle equations, radius/diameter, chords, or circumference/area</x:v>
      </x:c>
    </x:row>
  </x:sheetData>
  <x:mergeCells>
    <x:mergeCell ref="A1:E1"/>
    <x:mergeCell ref="A2:E2"/>
  </x:mergeCells>
  <x:conditionalFormatting sqref="D5:D26">
    <x:cfRule type="expression" dxfId="45" priority="1">
      <x:formula>D5="Easy"</x:formula>
    </x:cfRule>
    <x:cfRule type="expression" dxfId="46" priority="2">
      <x:formula>D5="Medium"</x:formula>
    </x:cfRule>
    <x:cfRule type="expression" dxfId="47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8e0343e7b74117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US Oct24 B EBRW M1 — Pattern Analysis</x:v>
      </x:c>
      <x:c r="B1" s="5"/>
      <x:c r="C1" s="5"/>
      <x:c r="D1" s="5"/>
      <x:c r="E1" s="5"/>
    </x:row>
    <x:row r="2">
      <x:c r="A2" s="12" t="str">
        <x:v>Target difficulty: ≈30%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Craft &amp; Structure</x:v>
      </x:c>
      <x:c r="C5" s="26" t="str">
        <x:v>Words in Context</x:v>
      </x:c>
      <x:c r="D5" s="26" t="str">
        <x:v>Easy</x:v>
      </x:c>
      <x:c r="E5" s="26" t="str">
        <x:v>Determine contextual meaning or choose the most precise word/phrase</x:v>
      </x:c>
    </x:row>
    <x:row r="6">
      <x:c r="A6" s="26" t="n">
        <x:v>2</x:v>
      </x:c>
      <x:c r="B6" s="26" t="str">
        <x:v>Craft &amp; Structure</x:v>
      </x:c>
      <x:c r="C6" s="26" t="str">
        <x:v>Words in Context</x:v>
      </x:c>
      <x:c r="D6" s="26" t="str">
        <x:v>Easy</x:v>
      </x:c>
      <x:c r="E6" s="26" t="str">
        <x:v>Determine contextual meaning or choose the most precise word/phrase</x:v>
      </x:c>
    </x:row>
    <x:row r="7">
      <x:c r="A7" s="26" t="n">
        <x:v>3</x:v>
      </x:c>
      <x:c r="B7" s="26" t="str">
        <x:v>Craft &amp; Structure</x:v>
      </x:c>
      <x:c r="C7" s="26" t="str">
        <x:v>Words in Context</x:v>
      </x:c>
      <x:c r="D7" s="26" t="str">
        <x:v>Easy</x:v>
      </x:c>
      <x:c r="E7" s="26" t="str">
        <x:v>Determine contextual meaning or choose the most precise word/phrase</x:v>
      </x:c>
    </x:row>
    <x:row r="8">
      <x:c r="A8" s="26" t="n">
        <x:v>4</x:v>
      </x:c>
      <x:c r="B8" s="26" t="str">
        <x:v>Craft &amp; Structure</x:v>
      </x:c>
      <x:c r="C8" s="26" t="str">
        <x:v>Words in Context</x:v>
      </x:c>
      <x:c r="D8" s="26" t="str">
        <x:v>Easy</x:v>
      </x:c>
      <x:c r="E8" s="26" t="str">
        <x:v>Determine contextual meaning or choose the most precise word/phrase</x:v>
      </x:c>
    </x:row>
    <x:row r="9">
      <x:c r="A9" s="26" t="n">
        <x:v>5</x:v>
      </x:c>
      <x:c r="B9" s="26" t="str">
        <x:v>Craft &amp; Structure</x:v>
      </x:c>
      <x:c r="C9" s="26" t="str">
        <x:v>Words in Context</x:v>
      </x:c>
      <x:c r="D9" s="26" t="str">
        <x:v>Easy</x:v>
      </x:c>
      <x:c r="E9" s="26" t="str">
        <x:v>Determine contextual meaning or choose the most precise word/phrase</x:v>
      </x:c>
    </x:row>
    <x:row r="10">
      <x:c r="A10" s="26" t="n">
        <x:v>6</x:v>
      </x:c>
      <x:c r="B10" s="26" t="str">
        <x:v>Craft &amp; Structure</x:v>
      </x:c>
      <x:c r="C10" s="26" t="str">
        <x:v>Text Structure &amp; Purpose</x:v>
      </x:c>
      <x:c r="D10" s="26" t="str">
        <x:v>Medium</x:v>
      </x:c>
      <x:c r="E10" s="26" t="str">
        <x:v>Analyze the function, purpose, or organization of the text</x:v>
      </x:c>
    </x:row>
    <x:row r="11">
      <x:c r="A11" s="26" t="n">
        <x:v>7</x:v>
      </x:c>
      <x:c r="B11" s="26" t="str">
        <x:v>Craft &amp; Structure</x:v>
      </x:c>
      <x:c r="C11" s="26" t="str">
        <x:v>Text Structure &amp; Purpose</x:v>
      </x:c>
      <x:c r="D11" s="26" t="str">
        <x:v>Medium</x:v>
      </x:c>
      <x:c r="E11" s="26" t="str">
        <x:v>Analyze the function, purpose, or organization of the text</x:v>
      </x:c>
    </x:row>
    <x:row r="12">
      <x:c r="A12" s="26" t="n">
        <x:v>8</x:v>
      </x:c>
      <x:c r="B12" s="26" t="str">
        <x:v>Craft &amp; Structure</x:v>
      </x:c>
      <x:c r="C12" s="26" t="str">
        <x:v>Text Structure &amp; Purpose</x:v>
      </x:c>
      <x:c r="D12" s="26" t="str">
        <x:v>Hard</x:v>
      </x:c>
      <x:c r="E12" s="26" t="str">
        <x:v>Analyze the function, purpose, or organization of the text</x:v>
      </x:c>
    </x:row>
    <x:row r="13">
      <x:c r="A13" s="26" t="n">
        <x:v>9</x:v>
      </x:c>
      <x:c r="B13" s="26" t="str">
        <x:v>Information &amp; Ideas</x:v>
      </x:c>
      <x:c r="C13" s="26" t="str">
        <x:v>Inferences</x:v>
      </x:c>
      <x:c r="D13" s="26" t="str">
        <x:v>Hard</x:v>
      </x:c>
      <x:c r="E13" s="26" t="str">
        <x:v>Draw the conclusion or inference best supported by the text</x:v>
      </x:c>
    </x:row>
    <x:row r="14">
      <x:c r="A14" s="26" t="n">
        <x:v>10</x:v>
      </x:c>
      <x:c r="B14" s="26" t="str">
        <x:v>Information &amp; Ideas</x:v>
      </x:c>
      <x:c r="C14" s="26" t="str">
        <x:v>Inferences</x:v>
      </x:c>
      <x:c r="D14" s="26" t="str">
        <x:v>Hard</x:v>
      </x:c>
      <x:c r="E14" s="26" t="str">
        <x:v>Draw the conclusion or inference best supported by the text</x:v>
      </x:c>
    </x:row>
    <x:row r="15">
      <x:c r="A15" s="26" t="n">
        <x:v>11</x:v>
      </x:c>
      <x:c r="B15" s="26" t="str">
        <x:v>Information &amp; Ideas</x:v>
      </x:c>
      <x:c r="C15" s="26" t="str">
        <x:v>Inferences</x:v>
      </x:c>
      <x:c r="D15" s="26" t="str">
        <x:v>Hard</x:v>
      </x:c>
      <x:c r="E15" s="26" t="str">
        <x:v>Draw the conclusion or inference best supported by the text</x:v>
      </x:c>
    </x:row>
    <x:row r="16">
      <x:c r="A16" s="26" t="n">
        <x:v>12</x:v>
      </x:c>
      <x:c r="B16" s="26" t="str">
        <x:v>Information &amp; Ideas</x:v>
      </x:c>
      <x:c r="C16" s="26" t="str">
        <x:v>Inferences</x:v>
      </x:c>
      <x:c r="D16" s="26" t="str">
        <x:v>Hard</x:v>
      </x:c>
      <x:c r="E16" s="26" t="str">
        <x:v>Draw the conclusion or inference best supported by the text</x:v>
      </x:c>
    </x:row>
    <x:row r="17">
      <x:c r="A17" s="26" t="n">
        <x:v>13</x:v>
      </x:c>
      <x:c r="B17" s="26" t="str">
        <x:v>Information &amp; Ideas</x:v>
      </x:c>
      <x:c r="C17" s="26" t="str">
        <x:v>Inferences</x:v>
      </x:c>
      <x:c r="D17" s="26" t="str">
        <x:v>Hard</x:v>
      </x:c>
      <x:c r="E17" s="26" t="str">
        <x:v>Draw the conclusion or inference best supported by the text</x:v>
      </x:c>
    </x:row>
    <x:row r="18">
      <x:c r="A18" s="26" t="n">
        <x:v>14</x:v>
      </x:c>
      <x:c r="B18" s="26" t="str">
        <x:v>Information &amp; Ideas</x:v>
      </x:c>
      <x:c r="C18" s="26" t="str">
        <x:v>Inferences</x:v>
      </x:c>
      <x:c r="D18" s="26" t="str">
        <x:v>Hard</x:v>
      </x:c>
      <x:c r="E18" s="26" t="str">
        <x:v>Draw the conclusion or inference best supported by the text</x:v>
      </x:c>
    </x:row>
    <x:row r="19">
      <x:c r="A19" s="26" t="n">
        <x:v>15</x:v>
      </x:c>
      <x:c r="B19" s="26" t="str">
        <x:v>Information &amp; Ideas</x:v>
      </x:c>
      <x:c r="C19" s="26" t="str">
        <x:v>Inferences</x:v>
      </x:c>
      <x:c r="D19" s="26" t="str">
        <x:v>Hard</x:v>
      </x:c>
      <x:c r="E19" s="26" t="str">
        <x:v>Draw the conclusion or inference best supported by the text</x:v>
      </x:c>
    </x:row>
    <x:row r="20">
      <x:c r="A20" s="26" t="n">
        <x:v>16</x:v>
      </x:c>
      <x:c r="B20" s="26" t="str">
        <x:v>Standard English Conventions</x:v>
      </x:c>
      <x:c r="C20" s="26" t="str">
        <x:v>Form, Structure &amp; Sense</x:v>
      </x:c>
      <x:c r="D20" s="26" t="str">
        <x:v>Medium</x:v>
      </x:c>
      <x:c r="E20" s="26" t="str">
        <x:v>Apply grammar, agreement, verb-form, pronoun, or modifier conventions</x:v>
      </x:c>
    </x:row>
    <x:row r="21">
      <x:c r="A21" s="26" t="n">
        <x:v>17</x:v>
      </x:c>
      <x:c r="B21" s="26" t="str">
        <x:v>Standard English Conventions</x:v>
      </x:c>
      <x:c r="C21" s="26" t="str">
        <x:v>Form, Structure &amp; Sense</x:v>
      </x:c>
      <x:c r="D21" s="26" t="str">
        <x:v>Medium</x:v>
      </x:c>
      <x:c r="E21" s="26" t="str">
        <x:v>Apply grammar, agreement, verb-form, pronoun, or modifier conventions</x:v>
      </x:c>
    </x:row>
    <x:row r="22">
      <x:c r="A22" s="26" t="n">
        <x:v>18</x:v>
      </x:c>
      <x:c r="B22" s="26" t="str">
        <x:v>Standard English Conventions</x:v>
      </x:c>
      <x:c r="C22" s="26" t="str">
        <x:v>Form, Structure &amp; Sense</x:v>
      </x:c>
      <x:c r="D22" s="26" t="str">
        <x:v>Medium</x:v>
      </x:c>
      <x:c r="E22" s="26" t="str">
        <x:v>Apply grammar, agreement, verb-form, pronoun, or modifier conventions</x:v>
      </x:c>
    </x:row>
    <x:row r="23">
      <x:c r="A23" s="26" t="n">
        <x:v>19</x:v>
      </x:c>
      <x:c r="B23" s="26" t="str">
        <x:v>Standard English Conventions</x:v>
      </x:c>
      <x:c r="C23" s="26" t="str">
        <x:v>Form, Structure &amp; Sense</x:v>
      </x:c>
      <x:c r="D23" s="26" t="str">
        <x:v>Medium</x:v>
      </x:c>
      <x:c r="E23" s="26" t="str">
        <x:v>Apply grammar, agreement, verb-form, pronoun, or modifier conventions</x:v>
      </x:c>
    </x:row>
    <x:row r="24">
      <x:c r="A24" s="26" t="n">
        <x:v>20</x:v>
      </x:c>
      <x:c r="B24" s="26" t="str">
        <x:v>Standard English Conventions</x:v>
      </x:c>
      <x:c r="C24" s="26" t="str">
        <x:v>Form, Structure &amp; Sense</x:v>
      </x:c>
      <x:c r="D24" s="26" t="str">
        <x:v>Medium</x:v>
      </x:c>
      <x:c r="E24" s="26" t="str">
        <x:v>Apply grammar, agreement, verb-form, pronoun, or modifier conventions</x:v>
      </x:c>
    </x:row>
    <x:row r="25">
      <x:c r="A25" s="26" t="n">
        <x:v>21</x:v>
      </x:c>
      <x:c r="B25" s="26" t="str">
        <x:v>Expression of Ideas</x:v>
      </x:c>
      <x:c r="C25" s="26" t="str">
        <x:v>Transitions</x:v>
      </x:c>
      <x:c r="D25" s="26" t="str">
        <x:v>Easy</x:v>
      </x:c>
      <x:c r="E25" s="26" t="str">
        <x:v>Choose the transition that best expresses the logical relationship</x:v>
      </x:c>
    </x:row>
    <x:row r="26">
      <x:c r="A26" s="26" t="n">
        <x:v>22</x:v>
      </x:c>
      <x:c r="B26" s="26" t="str">
        <x:v>Expression of Ideas</x:v>
      </x:c>
      <x:c r="C26" s="26" t="str">
        <x:v>Transitions</x:v>
      </x:c>
      <x:c r="D26" s="26" t="str">
        <x:v>Easy</x:v>
      </x:c>
      <x:c r="E26" s="26" t="str">
        <x:v>Choose the transition that best expresses the logical relationship</x:v>
      </x:c>
    </x:row>
    <x:row r="27">
      <x:c r="A27" s="26" t="n">
        <x:v>23</x:v>
      </x:c>
      <x:c r="B27" s="26" t="str">
        <x:v>Expression of Ideas</x:v>
      </x:c>
      <x:c r="C27" s="26" t="str">
        <x:v>Transitions</x:v>
      </x:c>
      <x:c r="D27" s="26" t="str">
        <x:v>Easy</x:v>
      </x:c>
      <x:c r="E27" s="26" t="str">
        <x:v>Choose the transition that best expresses the logical relationship</x:v>
      </x:c>
    </x:row>
    <x:row r="28">
      <x:c r="A28" s="26" t="n">
        <x:v>24</x:v>
      </x:c>
      <x:c r="B28" s="26" t="str">
        <x:v>Expression of Ideas</x:v>
      </x:c>
      <x:c r="C28" s="26" t="str">
        <x:v>Rhetorical Synthesis</x:v>
      </x:c>
      <x:c r="D28" s="26" t="str">
        <x:v>Easy</x:v>
      </x:c>
      <x:c r="E28" s="26" t="str">
        <x:v>Use notes to satisfy a specified rhetorical goal</x:v>
      </x:c>
    </x:row>
    <x:row r="29">
      <x:c r="A29" s="26" t="n">
        <x:v>25</x:v>
      </x:c>
      <x:c r="B29" s="26" t="str">
        <x:v>Expression of Ideas</x:v>
      </x:c>
      <x:c r="C29" s="26" t="str">
        <x:v>Rhetorical Synthesis</x:v>
      </x:c>
      <x:c r="D29" s="26" t="str">
        <x:v>Medium</x:v>
      </x:c>
      <x:c r="E29" s="26" t="str">
        <x:v>Use notes to satisfy a specified rhetorical goal</x:v>
      </x:c>
    </x:row>
    <x:row r="30">
      <x:c r="A30" s="26" t="n">
        <x:v>26</x:v>
      </x:c>
      <x:c r="B30" s="26" t="str">
        <x:v>Expression of Ideas</x:v>
      </x:c>
      <x:c r="C30" s="26" t="str">
        <x:v>Rhetorical Synthesis</x:v>
      </x:c>
      <x:c r="D30" s="26" t="str">
        <x:v>Medium</x:v>
      </x:c>
      <x:c r="E30" s="26" t="str">
        <x:v>Use notes to satisfy a specified rhetorical goal</x:v>
      </x:c>
    </x:row>
    <x:row r="31">
      <x:c r="A31" s="26" t="n">
        <x:v>27</x:v>
      </x:c>
      <x:c r="B31" s="26" t="str">
        <x:v>Expression of Ideas</x:v>
      </x:c>
      <x:c r="C31" s="26" t="str">
        <x:v>Rhetorical Synthesis</x:v>
      </x:c>
      <x:c r="D31" s="26" t="str">
        <x:v>Medium</x:v>
      </x:c>
      <x:c r="E31" s="26" t="str">
        <x:v>Use notes to satisfy a specified rhetorical goal</x:v>
      </x:c>
    </x:row>
  </x:sheetData>
  <x:mergeCells>
    <x:mergeCell ref="A1:E1"/>
    <x:mergeCell ref="A2:E2"/>
  </x:mergeCells>
  <x:conditionalFormatting sqref="D5:D31">
    <x:cfRule type="expression" dxfId="48" priority="1">
      <x:formula>D5="Easy"</x:formula>
    </x:cfRule>
    <x:cfRule type="expression" dxfId="49" priority="2">
      <x:formula>D5="Medium"</x:formula>
    </x:cfRule>
    <x:cfRule type="expression" dxfId="50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b11b08688b490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US Oct24 B EBRW M2 — Pattern Analysis</x:v>
      </x:c>
      <x:c r="B1" s="5"/>
      <x:c r="C1" s="5"/>
      <x:c r="D1" s="5"/>
      <x:c r="E1" s="5"/>
    </x:row>
    <x:row r="2">
      <x:c r="A2" s="12" t="str">
        <x:v>Target difficulty: ≈40%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Craft &amp; Structure</x:v>
      </x:c>
      <x:c r="C5" s="26" t="str">
        <x:v>Words in Context</x:v>
      </x:c>
      <x:c r="D5" s="26" t="str">
        <x:v>Easy</x:v>
      </x:c>
      <x:c r="E5" s="26" t="str">
        <x:v>Determine contextual meaning or choose the most precise word/phrase</x:v>
      </x:c>
    </x:row>
    <x:row r="6">
      <x:c r="A6" s="26" t="n">
        <x:v>2</x:v>
      </x:c>
      <x:c r="B6" s="26" t="str">
        <x:v>Craft &amp; Structure</x:v>
      </x:c>
      <x:c r="C6" s="26" t="str">
        <x:v>Words in Context</x:v>
      </x:c>
      <x:c r="D6" s="26" t="str">
        <x:v>Easy</x:v>
      </x:c>
      <x:c r="E6" s="26" t="str">
        <x:v>Determine contextual meaning or choose the most precise word/phrase</x:v>
      </x:c>
    </x:row>
    <x:row r="7">
      <x:c r="A7" s="26" t="n">
        <x:v>3</x:v>
      </x:c>
      <x:c r="B7" s="26" t="str">
        <x:v>Craft &amp; Structure</x:v>
      </x:c>
      <x:c r="C7" s="26" t="str">
        <x:v>Words in Context</x:v>
      </x:c>
      <x:c r="D7" s="26" t="str">
        <x:v>Easy</x:v>
      </x:c>
      <x:c r="E7" s="26" t="str">
        <x:v>Determine contextual meaning or choose the most precise word/phrase</x:v>
      </x:c>
    </x:row>
    <x:row r="8">
      <x:c r="A8" s="26" t="n">
        <x:v>4</x:v>
      </x:c>
      <x:c r="B8" s="26" t="str">
        <x:v>Craft &amp; Structure</x:v>
      </x:c>
      <x:c r="C8" s="26" t="str">
        <x:v>Words in Context</x:v>
      </x:c>
      <x:c r="D8" s="26" t="str">
        <x:v>Easy</x:v>
      </x:c>
      <x:c r="E8" s="26" t="str">
        <x:v>Determine contextual meaning or choose the most precise word/phrase</x:v>
      </x:c>
    </x:row>
    <x:row r="9">
      <x:c r="A9" s="26" t="n">
        <x:v>5</x:v>
      </x:c>
      <x:c r="B9" s="26" t="str">
        <x:v>Craft &amp; Structure</x:v>
      </x:c>
      <x:c r="C9" s="26" t="str">
        <x:v>Words in Context</x:v>
      </x:c>
      <x:c r="D9" s="26" t="str">
        <x:v>Easy</x:v>
      </x:c>
      <x:c r="E9" s="26" t="str">
        <x:v>Determine contextual meaning or choose the most precise word/phrase</x:v>
      </x:c>
    </x:row>
    <x:row r="10">
      <x:c r="A10" s="26" t="n">
        <x:v>6</x:v>
      </x:c>
      <x:c r="B10" s="26" t="str">
        <x:v>Craft &amp; Structure</x:v>
      </x:c>
      <x:c r="C10" s="26" t="str">
        <x:v>Text Structure &amp; Purpose</x:v>
      </x:c>
      <x:c r="D10" s="26" t="str">
        <x:v>Hard</x:v>
      </x:c>
      <x:c r="E10" s="26" t="str">
        <x:v>Analyze the function, purpose, or organization of the text</x:v>
      </x:c>
    </x:row>
    <x:row r="11">
      <x:c r="A11" s="26" t="n">
        <x:v>7</x:v>
      </x:c>
      <x:c r="B11" s="26" t="str">
        <x:v>Craft &amp; Structure</x:v>
      </x:c>
      <x:c r="C11" s="26" t="str">
        <x:v>Text Structure &amp; Purpose</x:v>
      </x:c>
      <x:c r="D11" s="26" t="str">
        <x:v>Hard</x:v>
      </x:c>
      <x:c r="E11" s="26" t="str">
        <x:v>Analyze the function, purpose, or organization of the text</x:v>
      </x:c>
    </x:row>
    <x:row r="12">
      <x:c r="A12" s="26" t="n">
        <x:v>8</x:v>
      </x:c>
      <x:c r="B12" s="26" t="str">
        <x:v>Craft &amp; Structure</x:v>
      </x:c>
      <x:c r="C12" s="26" t="str">
        <x:v>Text Structure &amp; Purpose</x:v>
      </x:c>
      <x:c r="D12" s="26" t="str">
        <x:v>Hard</x:v>
      </x:c>
      <x:c r="E12" s="26" t="str">
        <x:v>Analyze the function, purpose, or organization of the text</x:v>
      </x:c>
    </x:row>
    <x:row r="13">
      <x:c r="A13" s="26" t="n">
        <x:v>9</x:v>
      </x:c>
      <x:c r="B13" s="26" t="str">
        <x:v>Information &amp; Ideas</x:v>
      </x:c>
      <x:c r="C13" s="26" t="str">
        <x:v>Inferences</x:v>
      </x:c>
      <x:c r="D13" s="26" t="str">
        <x:v>Hard</x:v>
      </x:c>
      <x:c r="E13" s="26" t="str">
        <x:v>Draw the conclusion or inference best supported by the text</x:v>
      </x:c>
    </x:row>
    <x:row r="14">
      <x:c r="A14" s="26" t="n">
        <x:v>10</x:v>
      </x:c>
      <x:c r="B14" s="26" t="str">
        <x:v>Information &amp; Ideas</x:v>
      </x:c>
      <x:c r="C14" s="26" t="str">
        <x:v>Inferences</x:v>
      </x:c>
      <x:c r="D14" s="26" t="str">
        <x:v>Hard</x:v>
      </x:c>
      <x:c r="E14" s="26" t="str">
        <x:v>Draw the conclusion or inference best supported by the text</x:v>
      </x:c>
    </x:row>
    <x:row r="15">
      <x:c r="A15" s="26" t="n">
        <x:v>11</x:v>
      </x:c>
      <x:c r="B15" s="26" t="str">
        <x:v>Information &amp; Ideas</x:v>
      </x:c>
      <x:c r="C15" s="26" t="str">
        <x:v>Inferences</x:v>
      </x:c>
      <x:c r="D15" s="26" t="str">
        <x:v>Hard</x:v>
      </x:c>
      <x:c r="E15" s="26" t="str">
        <x:v>Draw the conclusion or inference best supported by the text</x:v>
      </x:c>
    </x:row>
    <x:row r="16">
      <x:c r="A16" s="26" t="n">
        <x:v>12</x:v>
      </x:c>
      <x:c r="B16" s="26" t="str">
        <x:v>Information &amp; Ideas</x:v>
      </x:c>
      <x:c r="C16" s="26" t="str">
        <x:v>Inferences</x:v>
      </x:c>
      <x:c r="D16" s="26" t="str">
        <x:v>Hard</x:v>
      </x:c>
      <x:c r="E16" s="26" t="str">
        <x:v>Draw the conclusion or inference best supported by the text</x:v>
      </x:c>
    </x:row>
    <x:row r="17">
      <x:c r="A17" s="26" t="n">
        <x:v>13</x:v>
      </x:c>
      <x:c r="B17" s="26" t="str">
        <x:v>Information &amp; Ideas</x:v>
      </x:c>
      <x:c r="C17" s="26" t="str">
        <x:v>Inferences</x:v>
      </x:c>
      <x:c r="D17" s="26" t="str">
        <x:v>Hard</x:v>
      </x:c>
      <x:c r="E17" s="26" t="str">
        <x:v>Draw the conclusion or inference best supported by the text</x:v>
      </x:c>
    </x:row>
    <x:row r="18">
      <x:c r="A18" s="26" t="n">
        <x:v>14</x:v>
      </x:c>
      <x:c r="B18" s="26" t="str">
        <x:v>Information &amp; Ideas</x:v>
      </x:c>
      <x:c r="C18" s="26" t="str">
        <x:v>Inferences</x:v>
      </x:c>
      <x:c r="D18" s="26" t="str">
        <x:v>Hard</x:v>
      </x:c>
      <x:c r="E18" s="26" t="str">
        <x:v>Draw the conclusion or inference best supported by the text</x:v>
      </x:c>
    </x:row>
    <x:row r="19">
      <x:c r="A19" s="26" t="n">
        <x:v>15</x:v>
      </x:c>
      <x:c r="B19" s="26" t="str">
        <x:v>Information &amp; Ideas</x:v>
      </x:c>
      <x:c r="C19" s="26" t="str">
        <x:v>Inferences</x:v>
      </x:c>
      <x:c r="D19" s="26" t="str">
        <x:v>Hard</x:v>
      </x:c>
      <x:c r="E19" s="26" t="str">
        <x:v>Draw the conclusion or inference best supported by the text</x:v>
      </x:c>
    </x:row>
    <x:row r="20">
      <x:c r="A20" s="26" t="n">
        <x:v>16</x:v>
      </x:c>
      <x:c r="B20" s="26" t="str">
        <x:v>Standard English Conventions</x:v>
      </x:c>
      <x:c r="C20" s="26" t="str">
        <x:v>Form, Structure &amp; Sense</x:v>
      </x:c>
      <x:c r="D20" s="26" t="str">
        <x:v>Medium</x:v>
      </x:c>
      <x:c r="E20" s="26" t="str">
        <x:v>Apply grammar, agreement, verb-form, pronoun, or modifier conventions</x:v>
      </x:c>
    </x:row>
    <x:row r="21">
      <x:c r="A21" s="26" t="n">
        <x:v>17</x:v>
      </x:c>
      <x:c r="B21" s="26" t="str">
        <x:v>Standard English Conventions</x:v>
      </x:c>
      <x:c r="C21" s="26" t="str">
        <x:v>Form, Structure &amp; Sense</x:v>
      </x:c>
      <x:c r="D21" s="26" t="str">
        <x:v>Medium</x:v>
      </x:c>
      <x:c r="E21" s="26" t="str">
        <x:v>Apply grammar, agreement, verb-form, pronoun, or modifier conventions</x:v>
      </x:c>
    </x:row>
    <x:row r="22">
      <x:c r="A22" s="26" t="n">
        <x:v>18</x:v>
      </x:c>
      <x:c r="B22" s="26" t="str">
        <x:v>Standard English Conventions</x:v>
      </x:c>
      <x:c r="C22" s="26" t="str">
        <x:v>Form, Structure &amp; Sense</x:v>
      </x:c>
      <x:c r="D22" s="26" t="str">
        <x:v>Medium</x:v>
      </x:c>
      <x:c r="E22" s="26" t="str">
        <x:v>Apply grammar, agreement, verb-form, pronoun, or modifier conventions</x:v>
      </x:c>
    </x:row>
    <x:row r="23">
      <x:c r="A23" s="26" t="n">
        <x:v>19</x:v>
      </x:c>
      <x:c r="B23" s="26" t="str">
        <x:v>Standard English Conventions</x:v>
      </x:c>
      <x:c r="C23" s="26" t="str">
        <x:v>Form, Structure &amp; Sense</x:v>
      </x:c>
      <x:c r="D23" s="26" t="str">
        <x:v>Medium</x:v>
      </x:c>
      <x:c r="E23" s="26" t="str">
        <x:v>Apply grammar, agreement, verb-form, pronoun, or modifier conventions</x:v>
      </x:c>
    </x:row>
    <x:row r="24">
      <x:c r="A24" s="26" t="n">
        <x:v>20</x:v>
      </x:c>
      <x:c r="B24" s="26" t="str">
        <x:v>Standard English Conventions</x:v>
      </x:c>
      <x:c r="C24" s="26" t="str">
        <x:v>Form, Structure &amp; Sense</x:v>
      </x:c>
      <x:c r="D24" s="26" t="str">
        <x:v>Hard</x:v>
      </x:c>
      <x:c r="E24" s="26" t="str">
        <x:v>Apply grammar, agreement, verb-form, pronoun, or modifier conventions</x:v>
      </x:c>
    </x:row>
    <x:row r="25">
      <x:c r="A25" s="26" t="n">
        <x:v>21</x:v>
      </x:c>
      <x:c r="B25" s="26" t="str">
        <x:v>Expression of Ideas</x:v>
      </x:c>
      <x:c r="C25" s="26" t="str">
        <x:v>Transitions</x:v>
      </x:c>
      <x:c r="D25" s="26" t="str">
        <x:v>Easy</x:v>
      </x:c>
      <x:c r="E25" s="26" t="str">
        <x:v>Choose the transition that best expresses the logical relationship</x:v>
      </x:c>
    </x:row>
    <x:row r="26">
      <x:c r="A26" s="26" t="n">
        <x:v>22</x:v>
      </x:c>
      <x:c r="B26" s="26" t="str">
        <x:v>Expression of Ideas</x:v>
      </x:c>
      <x:c r="C26" s="26" t="str">
        <x:v>Transitions</x:v>
      </x:c>
      <x:c r="D26" s="26" t="str">
        <x:v>Easy</x:v>
      </x:c>
      <x:c r="E26" s="26" t="str">
        <x:v>Choose the transition that best expresses the logical relationship</x:v>
      </x:c>
    </x:row>
    <x:row r="27">
      <x:c r="A27" s="26" t="n">
        <x:v>23</x:v>
      </x:c>
      <x:c r="B27" s="26" t="str">
        <x:v>Expression of Ideas</x:v>
      </x:c>
      <x:c r="C27" s="26" t="str">
        <x:v>Transitions</x:v>
      </x:c>
      <x:c r="D27" s="26" t="str">
        <x:v>Easy</x:v>
      </x:c>
      <x:c r="E27" s="26" t="str">
        <x:v>Choose the transition that best expresses the logical relationship</x:v>
      </x:c>
    </x:row>
    <x:row r="28">
      <x:c r="A28" s="26" t="n">
        <x:v>24</x:v>
      </x:c>
      <x:c r="B28" s="26" t="str">
        <x:v>Expression of Ideas</x:v>
      </x:c>
      <x:c r="C28" s="26" t="str">
        <x:v>Rhetorical Synthesis</x:v>
      </x:c>
      <x:c r="D28" s="26" t="str">
        <x:v>Medium</x:v>
      </x:c>
      <x:c r="E28" s="26" t="str">
        <x:v>Use notes to satisfy a specified rhetorical goal</x:v>
      </x:c>
    </x:row>
    <x:row r="29">
      <x:c r="A29" s="26" t="n">
        <x:v>25</x:v>
      </x:c>
      <x:c r="B29" s="26" t="str">
        <x:v>Expression of Ideas</x:v>
      </x:c>
      <x:c r="C29" s="26" t="str">
        <x:v>Rhetorical Synthesis</x:v>
      </x:c>
      <x:c r="D29" s="26" t="str">
        <x:v>Medium</x:v>
      </x:c>
      <x:c r="E29" s="26" t="str">
        <x:v>Use notes to satisfy a specified rhetorical goal</x:v>
      </x:c>
    </x:row>
    <x:row r="30">
      <x:c r="A30" s="26" t="n">
        <x:v>26</x:v>
      </x:c>
      <x:c r="B30" s="26" t="str">
        <x:v>Expression of Ideas</x:v>
      </x:c>
      <x:c r="C30" s="26" t="str">
        <x:v>Rhetorical Synthesis</x:v>
      </x:c>
      <x:c r="D30" s="26" t="str">
        <x:v>Medium</x:v>
      </x:c>
      <x:c r="E30" s="26" t="str">
        <x:v>Use notes to satisfy a specified rhetorical goal</x:v>
      </x:c>
    </x:row>
    <x:row r="31">
      <x:c r="A31" s="26" t="n">
        <x:v>27</x:v>
      </x:c>
      <x:c r="B31" s="26" t="str">
        <x:v>Expression of Ideas</x:v>
      </x:c>
      <x:c r="C31" s="26" t="str">
        <x:v>Rhetorical Synthesis</x:v>
      </x:c>
      <x:c r="D31" s="26" t="str">
        <x:v>Medium</x:v>
      </x:c>
      <x:c r="E31" s="26" t="str">
        <x:v>Use notes to satisfy a specified rhetorical goal</x:v>
      </x:c>
    </x:row>
  </x:sheetData>
  <x:mergeCells>
    <x:mergeCell ref="A1:E1"/>
    <x:mergeCell ref="A2:E2"/>
  </x:mergeCells>
  <x:conditionalFormatting sqref="D5:D31">
    <x:cfRule type="expression" dxfId="51" priority="1">
      <x:formula>D5="Easy"</x:formula>
    </x:cfRule>
    <x:cfRule type="expression" dxfId="52" priority="2">
      <x:formula>D5="Medium"</x:formula>
    </x:cfRule>
    <x:cfRule type="expression" dxfId="53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d7aef1636747ae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US Oct24 B Math M1 — Pattern Analysis</x:v>
      </x:c>
      <x:c r="B1" s="5"/>
      <x:c r="C1" s="5"/>
      <x:c r="D1" s="5"/>
      <x:c r="E1" s="5"/>
    </x:row>
    <x:row r="2">
      <x:c r="A2" s="12" t="str">
        <x:v>Target difficulty: ≈40% Hard. Domain, Skill/Subtopic, and Pattern are preserved from the source-based classification. Missing source question(s): Q18.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Algebra</x:v>
      </x:c>
      <x:c r="C5" s="26" t="str">
        <x:v>Linear Equations in One Variable</x:v>
      </x:c>
      <x:c r="D5" s="26" t="str">
        <x:v>Easy</x:v>
      </x:c>
      <x:c r="E5" s="26" t="str">
        <x:v>Solve or interpret a linear equation in one variable</x:v>
      </x:c>
    </x:row>
    <x:row r="6">
      <x:c r="A6" s="26" t="n">
        <x:v>2</x:v>
      </x:c>
      <x:c r="B6" s="26" t="str">
        <x:v>Advanced Math</x:v>
      </x:c>
      <x:c r="C6" s="26" t="str">
        <x:v>Nonlinear Functions</x:v>
      </x:c>
      <x:c r="D6" s="26" t="str">
        <x:v>Hard</x:v>
      </x:c>
      <x:c r="E6" s="26" t="str">
        <x:v>Evaluate, model, transform, or interpret a quadratic, exponential, or rational function</x:v>
      </x:c>
    </x:row>
    <x:row r="7">
      <x:c r="A7" s="26" t="n">
        <x:v>3</x:v>
      </x:c>
      <x:c r="B7" s="26" t="str">
        <x:v>Problem-Solving &amp; Data Analysis</x:v>
      </x:c>
      <x:c r="C7" s="26" t="str">
        <x:v>Ratios, Rates, Proportions &amp; Units</x:v>
      </x:c>
      <x:c r="D7" s="26" t="str">
        <x:v>Medium</x:v>
      </x:c>
      <x:c r="E7" s="26" t="str">
        <x:v>Use ratios, rates, proportions, density, or unit conversions</x:v>
      </x:c>
    </x:row>
    <x:row r="8">
      <x:c r="A8" s="26" t="n">
        <x:v>4</x:v>
      </x:c>
      <x:c r="B8" s="26" t="str">
        <x:v>Advanced Math</x:v>
      </x:c>
      <x:c r="C8" s="26" t="str">
        <x:v>Equivalent Expressions</x:v>
      </x:c>
      <x:c r="D8" s="26" t="str">
        <x:v>Hard</x:v>
      </x:c>
      <x:c r="E8" s="26" t="str">
        <x:v>Rewrite, factor, expand, or compare equivalent expressions</x:v>
      </x:c>
    </x:row>
    <x:row r="9">
      <x:c r="A9" s="26" t="n">
        <x:v>5</x:v>
      </x:c>
      <x:c r="B9" s="26" t="str">
        <x:v>Advanced Math</x:v>
      </x:c>
      <x:c r="C9" s="26" t="str">
        <x:v>Equivalent Expressions</x:v>
      </x:c>
      <x:c r="D9" s="26" t="str">
        <x:v>Hard</x:v>
      </x:c>
      <x:c r="E9" s="26" t="str">
        <x:v>Rewrite, factor, expand, or compare equivalent expressions</x:v>
      </x:c>
    </x:row>
    <x:row r="10">
      <x:c r="A10" s="26" t="n">
        <x:v>6</x:v>
      </x:c>
      <x:c r="B10" s="26" t="str">
        <x:v>Geometry &amp; Trigonometry</x:v>
      </x:c>
      <x:c r="C10" s="26" t="str">
        <x:v>Lines, Angles &amp; Triangles</x:v>
      </x:c>
      <x:c r="D10" s="26" t="str">
        <x:v>Medium</x:v>
      </x:c>
      <x:c r="E10" s="26" t="str">
        <x:v>Use angle, triangle, congruence, similarity, or line relationships</x:v>
      </x:c>
    </x:row>
    <x:row r="11">
      <x:c r="A11" s="26" t="n">
        <x:v>7</x:v>
      </x:c>
      <x:c r="B11" s="26" t="str">
        <x:v>Algebra</x:v>
      </x:c>
      <x:c r="C11" s="26" t="str">
        <x:v>Linear Functions</x:v>
      </x:c>
      <x:c r="D11" s="26" t="str">
        <x:v>Easy</x:v>
      </x:c>
      <x:c r="E11" s="26" t="str">
        <x:v>Determine, evaluate, or interpret slope, intercepts, or a linear function</x:v>
      </x:c>
    </x:row>
    <x:row r="12">
      <x:c r="A12" s="26" t="n">
        <x:v>8</x:v>
      </x:c>
      <x:c r="B12" s="26" t="str">
        <x:v>Algebra</x:v>
      </x:c>
      <x:c r="C12" s="26" t="str">
        <x:v>Linear Functions</x:v>
      </x:c>
      <x:c r="D12" s="26" t="str">
        <x:v>Easy</x:v>
      </x:c>
      <x:c r="E12" s="26" t="str">
        <x:v>Determine, evaluate, or interpret slope, intercepts, or a linear function</x:v>
      </x:c>
    </x:row>
    <x:row r="13">
      <x:c r="A13" s="26" t="n">
        <x:v>9</x:v>
      </x:c>
      <x:c r="B13" s="26" t="str">
        <x:v>Algebra</x:v>
      </x:c>
      <x:c r="C13" s="26" t="str">
        <x:v>Linear Functions</x:v>
      </x:c>
      <x:c r="D13" s="26" t="str">
        <x:v>Easy</x:v>
      </x:c>
      <x:c r="E13" s="26" t="str">
        <x:v>Determine, evaluate, or interpret slope, intercepts, or a linear function</x:v>
      </x:c>
    </x:row>
    <x:row r="14">
      <x:c r="A14" s="26" t="n">
        <x:v>10</x:v>
      </x:c>
      <x:c r="B14" s="26" t="str">
        <x:v>Algebra</x:v>
      </x:c>
      <x:c r="C14" s="26" t="str">
        <x:v>Linear Functions</x:v>
      </x:c>
      <x:c r="D14" s="26" t="str">
        <x:v>Easy</x:v>
      </x:c>
      <x:c r="E14" s="26" t="str">
        <x:v>Determine, evaluate, or interpret slope, intercepts, or a linear function</x:v>
      </x:c>
    </x:row>
    <x:row r="15">
      <x:c r="A15" s="26" t="n">
        <x:v>11</x:v>
      </x:c>
      <x:c r="B15" s="26" t="str">
        <x:v>Algebra</x:v>
      </x:c>
      <x:c r="C15" s="26" t="str">
        <x:v>Systems of Two Linear Equations</x:v>
      </x:c>
      <x:c r="D15" s="26" t="str">
        <x:v>Medium</x:v>
      </x:c>
      <x:c r="E15" s="26" t="str">
        <x:v>Solve or analyze a system of two linear equations</x:v>
      </x:c>
    </x:row>
    <x:row r="16">
      <x:c r="A16" s="26" t="n">
        <x:v>12</x:v>
      </x:c>
      <x:c r="B16" s="26" t="str">
        <x:v>Algebra</x:v>
      </x:c>
      <x:c r="C16" s="26" t="str">
        <x:v>Linear Functions</x:v>
      </x:c>
      <x:c r="D16" s="26" t="str">
        <x:v>Easy</x:v>
      </x:c>
      <x:c r="E16" s="26" t="str">
        <x:v>Determine, evaluate, or interpret slope, intercepts, or a linear function</x:v>
      </x:c>
    </x:row>
    <x:row r="17">
      <x:c r="A17" s="26" t="n">
        <x:v>13</x:v>
      </x:c>
      <x:c r="B17" s="26" t="str">
        <x:v>Problem-Solving &amp; Data Analysis</x:v>
      </x:c>
      <x:c r="C17" s="26" t="str">
        <x:v>Inference / Margin of Error</x:v>
      </x:c>
      <x:c r="D17" s="26" t="str">
        <x:v>Medium</x:v>
      </x:c>
      <x:c r="E17" s="26" t="str">
        <x:v>Reason about random samples, estimates, or margin of error</x:v>
      </x:c>
    </x:row>
    <x:row r="18">
      <x:c r="A18" s="26" t="n">
        <x:v>14</x:v>
      </x:c>
      <x:c r="B18" s="26" t="str">
        <x:v>Geometry &amp; Trigonometry</x:v>
      </x:c>
      <x:c r="C18" s="26" t="str">
        <x:v>Area &amp; Volume</x:v>
      </x:c>
      <x:c r="D18" s="26" t="str">
        <x:v>Medium</x:v>
      </x:c>
      <x:c r="E18" s="26" t="str">
        <x:v>Apply area, surface-area, or volume relationships</x:v>
      </x:c>
    </x:row>
    <x:row r="19">
      <x:c r="A19" s="26" t="n">
        <x:v>15</x:v>
      </x:c>
      <x:c r="B19" s="26" t="str">
        <x:v>Algebra</x:v>
      </x:c>
      <x:c r="C19" s="26" t="str">
        <x:v>Linear Equations in One Variable</x:v>
      </x:c>
      <x:c r="D19" s="26" t="str">
        <x:v>Easy</x:v>
      </x:c>
      <x:c r="E19" s="26" t="str">
        <x:v>Solve or interpret a linear equation in one variable</x:v>
      </x:c>
    </x:row>
    <x:row r="20">
      <x:c r="A20" s="26" t="n">
        <x:v>16</x:v>
      </x:c>
      <x:c r="B20" s="26" t="str">
        <x:v>Advanced Math</x:v>
      </x:c>
      <x:c r="C20" s="26" t="str">
        <x:v>Nonlinear Functions</x:v>
      </x:c>
      <x:c r="D20" s="26" t="str">
        <x:v>Hard</x:v>
      </x:c>
      <x:c r="E20" s="26" t="str">
        <x:v>Evaluate, model, transform, or interpret a quadratic, exponential, or rational function</x:v>
      </x:c>
    </x:row>
    <x:row r="21">
      <x:c r="A21" s="26" t="n">
        <x:v>17</x:v>
      </x:c>
      <x:c r="B21" s="26" t="str">
        <x:v>Advanced Math</x:v>
      </x:c>
      <x:c r="C21" s="26" t="str">
        <x:v>Nonlinear Equations</x:v>
      </x:c>
      <x:c r="D21" s="26" t="str">
        <x:v>Hard</x:v>
      </x:c>
      <x:c r="E21" s="26" t="str">
        <x:v>Solve or analyze a quadratic, absolute-value, or other nonlinear equation/system</x:v>
      </x:c>
    </x:row>
    <x:row r="22">
      <x:c r="A22" s="26" t="n">
        <x:v>18</x:v>
      </x:c>
      <x:c r="B22" s="26" t="str">
        <x:v>—</x:v>
      </x:c>
      <x:c r="C22" s="26" t="str">
        <x:v>Not present in source</x:v>
      </x:c>
      <x:c r="D22" s="26" t="str">
        <x:v>—</x:v>
      </x:c>
      <x:c r="E22" s="26" t="str">
        <x:v>Missing from PDF</x:v>
      </x:c>
    </x:row>
    <x:row r="23">
      <x:c r="A23" s="26" t="n">
        <x:v>19</x:v>
      </x:c>
      <x:c r="B23" s="26" t="str">
        <x:v>Problem-Solving &amp; Data Analysis</x:v>
      </x:c>
      <x:c r="C23" s="26" t="str">
        <x:v>Two-Variable Data &amp; Models</x:v>
      </x:c>
      <x:c r="D23" s="26" t="str">
        <x:v>Medium</x:v>
      </x:c>
      <x:c r="E23" s="26" t="str">
        <x:v>Interpret a scatterplot, line of best fit, or relationship between two variables</x:v>
      </x:c>
    </x:row>
    <x:row r="24">
      <x:c r="A24" s="26" t="n">
        <x:v>20</x:v>
      </x:c>
      <x:c r="B24" s="26" t="str">
        <x:v>Advanced Math</x:v>
      </x:c>
      <x:c r="C24" s="26" t="str">
        <x:v>Nonlinear Functions</x:v>
      </x:c>
      <x:c r="D24" s="26" t="str">
        <x:v>Hard</x:v>
      </x:c>
      <x:c r="E24" s="26" t="str">
        <x:v>Evaluate, model, transform, or interpret a quadratic, exponential, or rational function</x:v>
      </x:c>
    </x:row>
    <x:row r="25">
      <x:c r="A25" s="26" t="n">
        <x:v>21</x:v>
      </x:c>
      <x:c r="B25" s="26" t="str">
        <x:v>Geometry &amp; Trigonometry</x:v>
      </x:c>
      <x:c r="C25" s="26" t="str">
        <x:v>Circles</x:v>
      </x:c>
      <x:c r="D25" s="26" t="str">
        <x:v>Hard</x:v>
      </x:c>
      <x:c r="E25" s="26" t="str">
        <x:v>Use circle equations, radius/diameter, chords, or circumference/area</x:v>
      </x:c>
    </x:row>
    <x:row r="26">
      <x:c r="A26" s="26" t="n">
        <x:v>22</x:v>
      </x:c>
      <x:c r="B26" s="26" t="str">
        <x:v>Geometry &amp; Trigonometry</x:v>
      </x:c>
      <x:c r="C26" s="26" t="str">
        <x:v>Right Triangles &amp; Trigonometry</x:v>
      </x:c>
      <x:c r="D26" s="26" t="str">
        <x:v>Hard</x:v>
      </x:c>
      <x:c r="E26" s="26" t="str">
        <x:v>Use right-triangle relationships or trigonometric ratios</x:v>
      </x:c>
    </x:row>
  </x:sheetData>
  <x:mergeCells>
    <x:mergeCell ref="A1:E1"/>
    <x:mergeCell ref="A2:E2"/>
  </x:mergeCells>
  <x:conditionalFormatting sqref="D5:D26">
    <x:cfRule type="expression" dxfId="54" priority="1">
      <x:formula>D5="Easy"</x:formula>
    </x:cfRule>
    <x:cfRule type="expression" dxfId="55" priority="2">
      <x:formula>D5="Medium"</x:formula>
    </x:cfRule>
    <x:cfRule type="expression" dxfId="56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9f962e076149c6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2" hidden="0" customWidth="1"/>
  </x:cols>
  <x:sheetData>
    <x:row r="1" ht="28" customHeight="1">
      <x:c r="A1" s="5" t="str">
        <x:v>US Oct24 B Math M2 — Pattern Analysis</x:v>
      </x:c>
      <x:c r="B1" s="5"/>
      <x:c r="C1" s="5"/>
      <x:c r="D1" s="5"/>
      <x:c r="E1" s="5"/>
    </x:row>
    <x:row r="2">
      <x:c r="A2" s="12" t="str">
        <x:v>Target difficulty: ≈60% Hard. Domain, Skill/Subtopic, and Pattern are preserved from the source-based classification.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Advanced Math</x:v>
      </x:c>
      <x:c r="C5" s="26" t="str">
        <x:v>Nonlinear Functions</x:v>
      </x:c>
      <x:c r="D5" s="26" t="str">
        <x:v>Hard</x:v>
      </x:c>
      <x:c r="E5" s="26" t="str">
        <x:v>Evaluate, model, transform, or interpret a quadratic, exponential, or rational function</x:v>
      </x:c>
    </x:row>
    <x:row r="6">
      <x:c r="A6" s="26" t="n">
        <x:v>2</x:v>
      </x:c>
      <x:c r="B6" s="26" t="str">
        <x:v>Algebra</x:v>
      </x:c>
      <x:c r="C6" s="26" t="str">
        <x:v>Linear Equations in Two Variables</x:v>
      </x:c>
      <x:c r="D6" s="26" t="str">
        <x:v>Easy</x:v>
      </x:c>
      <x:c r="E6" s="26" t="str">
        <x:v>Represent, rearrange, or interpret a linear relation in two variables</x:v>
      </x:c>
    </x:row>
    <x:row r="7">
      <x:c r="A7" s="26" t="n">
        <x:v>3</x:v>
      </x:c>
      <x:c r="B7" s="26" t="str">
        <x:v>Advanced Math</x:v>
      </x:c>
      <x:c r="C7" s="26" t="str">
        <x:v>Nonlinear Equations</x:v>
      </x:c>
      <x:c r="D7" s="26" t="str">
        <x:v>Hard</x:v>
      </x:c>
      <x:c r="E7" s="26" t="str">
        <x:v>Solve or analyze a quadratic, absolute-value, or other nonlinear equation/system</x:v>
      </x:c>
    </x:row>
    <x:row r="8">
      <x:c r="A8" s="26" t="n">
        <x:v>4</x:v>
      </x:c>
      <x:c r="B8" s="26" t="str">
        <x:v>Geometry &amp; Trigonometry</x:v>
      </x:c>
      <x:c r="C8" s="26" t="str">
        <x:v>Lines, Angles &amp; Triangles</x:v>
      </x:c>
      <x:c r="D8" s="26" t="str">
        <x:v>Hard</x:v>
      </x:c>
      <x:c r="E8" s="26" t="str">
        <x:v>Use angle, triangle, congruence, similarity, or line relationships</x:v>
      </x:c>
    </x:row>
    <x:row r="9">
      <x:c r="A9" s="26" t="n">
        <x:v>5</x:v>
      </x:c>
      <x:c r="B9" s="26" t="str">
        <x:v>Algebra</x:v>
      </x:c>
      <x:c r="C9" s="26" t="str">
        <x:v>Linear Functions</x:v>
      </x:c>
      <x:c r="D9" s="26" t="str">
        <x:v>Easy</x:v>
      </x:c>
      <x:c r="E9" s="26" t="str">
        <x:v>Determine, evaluate, or interpret slope, intercepts, or a linear function</x:v>
      </x:c>
    </x:row>
    <x:row r="10">
      <x:c r="A10" s="26" t="n">
        <x:v>6</x:v>
      </x:c>
      <x:c r="B10" s="26" t="str">
        <x:v>Algebra</x:v>
      </x:c>
      <x:c r="C10" s="26" t="str">
        <x:v>Systems of Two Linear Equations</x:v>
      </x:c>
      <x:c r="D10" s="26" t="str">
        <x:v>Hard</x:v>
      </x:c>
      <x:c r="E10" s="26" t="str">
        <x:v>Solve or analyze a system of two linear equations</x:v>
      </x:c>
    </x:row>
    <x:row r="11">
      <x:c r="A11" s="26" t="n">
        <x:v>7</x:v>
      </x:c>
      <x:c r="B11" s="26" t="str">
        <x:v>Problem-Solving &amp; Data Analysis</x:v>
      </x:c>
      <x:c r="C11" s="26" t="str">
        <x:v>Ratios, Rates, Proportions &amp; Units</x:v>
      </x:c>
      <x:c r="D11" s="26" t="str">
        <x:v>Easy</x:v>
      </x:c>
      <x:c r="E11" s="26" t="str">
        <x:v>Use ratios, rates, proportions, density, or unit conversions</x:v>
      </x:c>
    </x:row>
    <x:row r="12">
      <x:c r="A12" s="26" t="n">
        <x:v>8</x:v>
      </x:c>
      <x:c r="B12" s="26" t="str">
        <x:v>Algebra</x:v>
      </x:c>
      <x:c r="C12" s="26" t="str">
        <x:v>Linear Equations in Two Variables</x:v>
      </x:c>
      <x:c r="D12" s="26" t="str">
        <x:v>Medium</x:v>
      </x:c>
      <x:c r="E12" s="26" t="str">
        <x:v>Represent, rearrange, or interpret a linear relation in two variables</x:v>
      </x:c>
    </x:row>
    <x:row r="13">
      <x:c r="A13" s="26" t="n">
        <x:v>9</x:v>
      </x:c>
      <x:c r="B13" s="26" t="str">
        <x:v>Geometry &amp; Trigonometry</x:v>
      </x:c>
      <x:c r="C13" s="26" t="str">
        <x:v>Circles</x:v>
      </x:c>
      <x:c r="D13" s="26" t="str">
        <x:v>Hard</x:v>
      </x:c>
      <x:c r="E13" s="26" t="str">
        <x:v>Use circle equations, radius/diameter, chords, or circumference/area</x:v>
      </x:c>
    </x:row>
    <x:row r="14">
      <x:c r="A14" s="26" t="n">
        <x:v>10</x:v>
      </x:c>
      <x:c r="B14" s="26" t="str">
        <x:v>Problem-Solving &amp; Data Analysis</x:v>
      </x:c>
      <x:c r="C14" s="26" t="str">
        <x:v>One-Variable Data</x:v>
      </x:c>
      <x:c r="D14" s="26" t="str">
        <x:v>Medium</x:v>
      </x:c>
      <x:c r="E14" s="26" t="str">
        <x:v>Analyze a one-variable data set, distribution, mean, median, or range</x:v>
      </x:c>
    </x:row>
    <x:row r="15">
      <x:c r="A15" s="26" t="n">
        <x:v>11</x:v>
      </x:c>
      <x:c r="B15" s="26" t="str">
        <x:v>Algebra</x:v>
      </x:c>
      <x:c r="C15" s="26" t="str">
        <x:v>Linear Functions</x:v>
      </x:c>
      <x:c r="D15" s="26" t="str">
        <x:v>Easy</x:v>
      </x:c>
      <x:c r="E15" s="26" t="str">
        <x:v>Determine, evaluate, or interpret slope, intercepts, or a linear function</x:v>
      </x:c>
    </x:row>
    <x:row r="16">
      <x:c r="A16" s="26" t="n">
        <x:v>12</x:v>
      </x:c>
      <x:c r="B16" s="26" t="str">
        <x:v>Problem-Solving &amp; Data Analysis</x:v>
      </x:c>
      <x:c r="C16" s="26" t="str">
        <x:v>Percentages</x:v>
      </x:c>
      <x:c r="D16" s="26" t="str">
        <x:v>Medium</x:v>
      </x:c>
      <x:c r="E16" s="26" t="str">
        <x:v>Solve a percent, percent-change, or part-whole problem</x:v>
      </x:c>
    </x:row>
    <x:row r="17">
      <x:c r="A17" s="26" t="n">
        <x:v>13</x:v>
      </x:c>
      <x:c r="B17" s="26" t="str">
        <x:v>Advanced Math</x:v>
      </x:c>
      <x:c r="C17" s="26" t="str">
        <x:v>Nonlinear Functions</x:v>
      </x:c>
      <x:c r="D17" s="26" t="str">
        <x:v>Hard</x:v>
      </x:c>
      <x:c r="E17" s="26" t="str">
        <x:v>Evaluate, model, transform, or interpret a quadratic, exponential, or rational function</x:v>
      </x:c>
    </x:row>
    <x:row r="18">
      <x:c r="A18" s="26" t="n">
        <x:v>14</x:v>
      </x:c>
      <x:c r="B18" s="26" t="str">
        <x:v>Algebra</x:v>
      </x:c>
      <x:c r="C18" s="26" t="str">
        <x:v>Linear Equations in One Variable</x:v>
      </x:c>
      <x:c r="D18" s="26" t="str">
        <x:v>Easy</x:v>
      </x:c>
      <x:c r="E18" s="26" t="str">
        <x:v>Solve or interpret a linear equation in one variable</x:v>
      </x:c>
    </x:row>
    <x:row r="19">
      <x:c r="A19" s="26" t="n">
        <x:v>15</x:v>
      </x:c>
      <x:c r="B19" s="26" t="str">
        <x:v>Geometry &amp; Trigonometry</x:v>
      </x:c>
      <x:c r="C19" s="26" t="str">
        <x:v>Area &amp; Volume</x:v>
      </x:c>
      <x:c r="D19" s="26" t="str">
        <x:v>Hard</x:v>
      </x:c>
      <x:c r="E19" s="26" t="str">
        <x:v>Apply area, surface-area, or volume relationships</x:v>
      </x:c>
    </x:row>
    <x:row r="20">
      <x:c r="A20" s="26" t="n">
        <x:v>16</x:v>
      </x:c>
      <x:c r="B20" s="26" t="str">
        <x:v>Problem-Solving &amp; Data Analysis</x:v>
      </x:c>
      <x:c r="C20" s="26" t="str">
        <x:v>One-Variable Data</x:v>
      </x:c>
      <x:c r="D20" s="26" t="str">
        <x:v>Medium</x:v>
      </x:c>
      <x:c r="E20" s="26" t="str">
        <x:v>Analyze a one-variable data set, distribution, mean, median, or range</x:v>
      </x:c>
    </x:row>
    <x:row r="21">
      <x:c r="A21" s="26" t="n">
        <x:v>17</x:v>
      </x:c>
      <x:c r="B21" s="26" t="str">
        <x:v>Advanced Math</x:v>
      </x:c>
      <x:c r="C21" s="26" t="str">
        <x:v>Nonlinear Functions</x:v>
      </x:c>
      <x:c r="D21" s="26" t="str">
        <x:v>Hard</x:v>
      </x:c>
      <x:c r="E21" s="26" t="str">
        <x:v>Evaluate, model, transform, or interpret a quadratic, exponential, or rational function</x:v>
      </x:c>
    </x:row>
    <x:row r="22">
      <x:c r="A22" s="26" t="n">
        <x:v>18</x:v>
      </x:c>
      <x:c r="B22" s="26" t="str">
        <x:v>Advanced Math</x:v>
      </x:c>
      <x:c r="C22" s="26" t="str">
        <x:v>Nonlinear Functions</x:v>
      </x:c>
      <x:c r="D22" s="26" t="str">
        <x:v>Hard</x:v>
      </x:c>
      <x:c r="E22" s="26" t="str">
        <x:v>Evaluate, model, transform, or interpret a quadratic, exponential, or rational function</x:v>
      </x:c>
    </x:row>
    <x:row r="23">
      <x:c r="A23" s="26" t="n">
        <x:v>19</x:v>
      </x:c>
      <x:c r="B23" s="26" t="str">
        <x:v>Advanced Math</x:v>
      </x:c>
      <x:c r="C23" s="26" t="str">
        <x:v>Nonlinear Equations</x:v>
      </x:c>
      <x:c r="D23" s="26" t="str">
        <x:v>Hard</x:v>
      </x:c>
      <x:c r="E23" s="26" t="str">
        <x:v>Solve or analyze a quadratic, absolute-value, or other nonlinear equation/system</x:v>
      </x:c>
    </x:row>
    <x:row r="24">
      <x:c r="A24" s="26" t="n">
        <x:v>20</x:v>
      </x:c>
      <x:c r="B24" s="26" t="str">
        <x:v>Advanced Math</x:v>
      </x:c>
      <x:c r="C24" s="26" t="str">
        <x:v>Nonlinear Equations</x:v>
      </x:c>
      <x:c r="D24" s="26" t="str">
        <x:v>Hard</x:v>
      </x:c>
      <x:c r="E24" s="26" t="str">
        <x:v>Solve or analyze a quadratic, absolute-value, or other nonlinear equation/system</x:v>
      </x:c>
    </x:row>
    <x:row r="25">
      <x:c r="A25" s="26" t="n">
        <x:v>21</x:v>
      </x:c>
      <x:c r="B25" s="26" t="str">
        <x:v>Advanced Math</x:v>
      </x:c>
      <x:c r="C25" s="26" t="str">
        <x:v>Equivalent Expressions</x:v>
      </x:c>
      <x:c r="D25" s="26" t="str">
        <x:v>Hard</x:v>
      </x:c>
      <x:c r="E25" s="26" t="str">
        <x:v>Rewrite, factor, expand, or compare equivalent expressions</x:v>
      </x:c>
    </x:row>
    <x:row r="26">
      <x:c r="A26" s="26" t="n">
        <x:v>22</x:v>
      </x:c>
      <x:c r="B26" s="26" t="str">
        <x:v>Advanced Math</x:v>
      </x:c>
      <x:c r="C26" s="26" t="str">
        <x:v>Nonlinear Equations</x:v>
      </x:c>
      <x:c r="D26" s="26" t="str">
        <x:v>Hard</x:v>
      </x:c>
      <x:c r="E26" s="26" t="str">
        <x:v>Solve or analyze a quadratic, absolute-value, or other nonlinear equation/system</x:v>
      </x:c>
    </x:row>
  </x:sheetData>
  <x:mergeCells>
    <x:mergeCell ref="A1:E1"/>
    <x:mergeCell ref="A2:E2"/>
  </x:mergeCells>
  <x:conditionalFormatting sqref="D5:D26">
    <x:cfRule type="expression" dxfId="57" priority="1">
      <x:formula>D5="Easy"</x:formula>
    </x:cfRule>
    <x:cfRule type="expression" dxfId="58" priority="2">
      <x:formula>D5="Medium"</x:formula>
    </x:cfRule>
    <x:cfRule type="expression" dxfId="59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82640c68fc4003"/>
  </x:tableParts>
</x:worksheet>
</file>